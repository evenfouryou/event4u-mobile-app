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1025" sheetId="1" r:id="rId4"/>
    <sheet state="visible" name="221125" sheetId="2" r:id="rId5"/>
    <sheet state="visible" name="Asso" sheetId="3" r:id="rId6"/>
    <sheet state="hidden" name="Copia di Asso" sheetId="4" r:id="rId7"/>
  </sheets>
  <definedNames/>
  <calcPr/>
</workbook>
</file>

<file path=xl/sharedStrings.xml><?xml version="1.0" encoding="utf-8"?>
<sst xmlns="http://schemas.openxmlformats.org/spreadsheetml/2006/main" count="712" uniqueCount="161">
  <si>
    <t>START ASSODRINK</t>
  </si>
  <si>
    <t>Prodotto</t>
  </si>
  <si>
    <t>Quantita in Bottiglie</t>
  </si>
  <si>
    <t>Pacchi</t>
  </si>
  <si>
    <t>Prezzo Unitario</t>
  </si>
  <si>
    <t>Totale</t>
  </si>
  <si>
    <t>&gt;&gt; BIBITE</t>
  </si>
  <si>
    <t>SCIROPPO FRAGOLA 1,0 KG ODK</t>
  </si>
  <si>
    <t>2</t>
  </si>
  <si>
    <t>SCIROPPO COCCO 1,0 KG ODK</t>
  </si>
  <si>
    <t>1</t>
  </si>
  <si>
    <t>SCIROPPO MENTA 1,0 KG ODK</t>
  </si>
  <si>
    <t xml:space="preserve">SWEET &amp; SOUR </t>
  </si>
  <si>
    <t>3</t>
  </si>
  <si>
    <t>SUCCO DI LIMONE 1,0 LT</t>
  </si>
  <si>
    <t>0</t>
  </si>
  <si>
    <t xml:space="preserve">FRASSASSI NATURALE PET 0,50 CL x 24 BT </t>
  </si>
  <si>
    <t>480</t>
  </si>
  <si>
    <t>20</t>
  </si>
  <si>
    <t xml:space="preserve">FRASSASSI GASSATA PET 0,50 CL x 24 BT </t>
  </si>
  <si>
    <t>48</t>
  </si>
  <si>
    <t>RED BULL ENERGY DRINK 0,25 CL x 24 LAT</t>
  </si>
  <si>
    <t>RED BULL RED EDITION 0,25 CL x 24 LAT</t>
  </si>
  <si>
    <t>RED BULL WHITE EDITION 0,25 CL x 24 LAT</t>
  </si>
  <si>
    <t>RED BULL ORGANICS TONICA 0,25 CL x 24 LAT</t>
  </si>
  <si>
    <t>144</t>
  </si>
  <si>
    <t>6</t>
  </si>
  <si>
    <t>RED BULL ORGANICS LEMON 0,25 CL x 24 LAT</t>
  </si>
  <si>
    <t>240</t>
  </si>
  <si>
    <t>10</t>
  </si>
  <si>
    <t>ESTATHE LIMONE 0,40 CL x 12 PET</t>
  </si>
  <si>
    <t>ESTATHE PESCA 0,40 CL x 12 PET</t>
  </si>
  <si>
    <t xml:space="preserve">COCA COLA 1,5 LT x 6 BT </t>
  </si>
  <si>
    <t>COCA COLA 0,33 CL x 24 LAT</t>
  </si>
  <si>
    <t>FANTA 0,33 CL x 24 LAT</t>
  </si>
  <si>
    <t>CRODINO 0,10 CL x 48 BT</t>
  </si>
  <si>
    <t>SCHWEPPES TONICA 1,0 LT x 6 BT</t>
  </si>
  <si>
    <t>SCHWEPPES LEMON 1,0 LT x 6 BT</t>
  </si>
  <si>
    <t xml:space="preserve">SUCCO DERBY ANANAS 1.5 LT x 6 BT </t>
  </si>
  <si>
    <t>18</t>
  </si>
  <si>
    <t xml:space="preserve">SUCCO DERBY ARANCIA 1.5 LT x 6 BT </t>
  </si>
  <si>
    <t>24</t>
  </si>
  <si>
    <t>4</t>
  </si>
  <si>
    <t>&gt;&gt; FUSTI</t>
  </si>
  <si>
    <t>PEPSI (Post Mix) 5.0 LT</t>
  </si>
  <si>
    <t>LEMON (Post Mix) 5.0 LT</t>
  </si>
  <si>
    <t>TONICA (Post Mix) 5.0 LT</t>
  </si>
  <si>
    <t>BOMBOLA (GAS)  4 KG</t>
  </si>
  <si>
    <t>BOMBOLA (GAS)  10 KG</t>
  </si>
  <si>
    <t>&gt;&gt; PROSECCHI &amp; CHAMPAGNE</t>
  </si>
  <si>
    <t>DACHRI 0,75 CL</t>
  </si>
  <si>
    <t>PODERE DEL GAIO DOC 0,75 CL</t>
  </si>
  <si>
    <t>MOSCATO D'ASTI 0,75 CL</t>
  </si>
  <si>
    <t>BOTTEGA GOLD 0,75 CL</t>
  </si>
  <si>
    <t>BOTTEGA GOLD 1,50 LT</t>
  </si>
  <si>
    <t>MUMM 0.75 CL</t>
  </si>
  <si>
    <t>&gt;&gt; VODKA</t>
  </si>
  <si>
    <t>WYBOROWA 1,0 LT</t>
  </si>
  <si>
    <t>36</t>
  </si>
  <si>
    <t>ABSOLUT PEACH 1,0 LT</t>
  </si>
  <si>
    <t>ARTIC PESCA 1,00 LT</t>
  </si>
  <si>
    <t>ABSOLUT 0,70 CL</t>
  </si>
  <si>
    <t>ABSOLUT 1,75 LT</t>
  </si>
  <si>
    <t>ABSOLUT ELYX 0,70 CL</t>
  </si>
  <si>
    <t>&gt;&gt; GIN</t>
  </si>
  <si>
    <t>LIFE GUARD 1,0 LT</t>
  </si>
  <si>
    <t>BOSFORD 1,00 LT</t>
  </si>
  <si>
    <t>TANQUERAI 0.70 CL</t>
  </si>
  <si>
    <t>BOMBAY 0,70 CL</t>
  </si>
  <si>
    <t xml:space="preserve">BOMBAY 1,50 CL </t>
  </si>
  <si>
    <t>BEEFEATER 0,70 CL</t>
  </si>
  <si>
    <t>BEEFEATER 1,00 LT</t>
  </si>
  <si>
    <t>BEEFEATER 24 0,70 CL</t>
  </si>
  <si>
    <t>MALFY ORIGINAL 0.70 CL</t>
  </si>
  <si>
    <t>MARE 0,70 CL</t>
  </si>
  <si>
    <t>MARE 1,50 LT</t>
  </si>
  <si>
    <t xml:space="preserve">HENDRICK'S 0.70 CL </t>
  </si>
  <si>
    <t>&gt;&gt; DISTILLATI</t>
  </si>
  <si>
    <t>KINGSTON 1.0 LT</t>
  </si>
  <si>
    <t>HAVANA 3 1,0 LT</t>
  </si>
  <si>
    <t>HAVANA 7 0,70 CL</t>
  </si>
  <si>
    <t>BUMBU 0,70 CL</t>
  </si>
  <si>
    <t>MALIBU 1,0 LT</t>
  </si>
  <si>
    <t>APEROL 1,0 LT</t>
  </si>
  <si>
    <t>TRIPLE SEC 1,00 LT</t>
  </si>
  <si>
    <t>CAMPARI BITTER 1,0 LT</t>
  </si>
  <si>
    <t>JAGERMAISTER 1,0 LT</t>
  </si>
  <si>
    <t>MARTINI ROSSO 1,0 LT</t>
  </si>
  <si>
    <t>TEQUILA BUEN AMIGO 1,0 LT</t>
  </si>
  <si>
    <t>&gt;&gt; BIRRE</t>
  </si>
  <si>
    <t>BECKS 0,33 CL x 24 BOT</t>
  </si>
  <si>
    <t>HEINEKEN 0,33 CL x 24 BOT</t>
  </si>
  <si>
    <t>&gt;&gt; MATERIALE VARIO</t>
  </si>
  <si>
    <t>CANNUCCE x 1000</t>
  </si>
  <si>
    <t>BICCHIERI 30 x 30 (900 a Pacco)</t>
  </si>
  <si>
    <t>Totale Senza Iva</t>
  </si>
  <si>
    <t>Iva 22%</t>
  </si>
  <si>
    <t>Totale Ivato</t>
  </si>
  <si>
    <t>START IBALT</t>
  </si>
  <si>
    <t>RIEME SCIROPPO FRAGOLA 1,0 LT</t>
  </si>
  <si>
    <t>NEXUS LIME JUICE 1,0 LT</t>
  </si>
  <si>
    <t>NEREA NATURALE 0,50 CL x 24 BT</t>
  </si>
  <si>
    <t>NEREA FRIZZANTE 0,50 CL x 24 BT</t>
  </si>
  <si>
    <t>FANTA 1,50 LT x 6 BT</t>
  </si>
  <si>
    <t>KINLEY TONICA 1,0 LT x 6 BT</t>
  </si>
  <si>
    <t>KINLEY LEMON 1,0 LT x 6 BT</t>
  </si>
  <si>
    <t xml:space="preserve">SUCCO DERBY ANANAS 1,5 LT x 6 BT </t>
  </si>
  <si>
    <t xml:space="preserve">SUCCO DERBY ARANCIA 1,5 LT x 6 BT </t>
  </si>
  <si>
    <t>&gt;&gt; VINO &amp; PROSECCHI</t>
  </si>
  <si>
    <t>ARMAR PROSECCO 0,75 CL</t>
  </si>
  <si>
    <t>ARMAR MOSCATO 0,75 CL</t>
  </si>
  <si>
    <t>PASSERINA 0,75 CL</t>
  </si>
  <si>
    <t>PURE 1,0 LT</t>
  </si>
  <si>
    <t>PURE PESCA 1,0 LT</t>
  </si>
  <si>
    <t>VERUM 1,0 LT</t>
  </si>
  <si>
    <t>&gt;&gt; AMARI</t>
  </si>
  <si>
    <t>LABADIA GRAPPA 1,0 LT</t>
  </si>
  <si>
    <t>LABADIA GRAPPA BARRICATA 1,0 LT</t>
  </si>
  <si>
    <t>LIMONCELLO LIMON D'ORO 1,0 LT</t>
  </si>
  <si>
    <t>MONTENEGRO 1,0 LT</t>
  </si>
  <si>
    <t>VARNELLI 1,0 LT</t>
  </si>
  <si>
    <t>APEROL</t>
  </si>
  <si>
    <t>RUM EL CALICON 1,0 LT</t>
  </si>
  <si>
    <t>VERMOUTH DEL MARCHESE 1,0 LT</t>
  </si>
  <si>
    <t>MORETTI 0,33 CL x 24 LAT</t>
  </si>
  <si>
    <t>BICCHIERI 250 X 50</t>
  </si>
  <si>
    <t>START CUPRA BIBITE</t>
  </si>
  <si>
    <t>REDBULL</t>
  </si>
  <si>
    <t>COCA COLA 1,5 LT</t>
  </si>
  <si>
    <t>BOL VANDORI CUVEE BRUT</t>
  </si>
  <si>
    <t>ABSOLUTE 0,70 CL</t>
  </si>
  <si>
    <t>ABSOLUT ELYX 1,50 LT</t>
  </si>
  <si>
    <t>BEEFEATER 0,70 LT</t>
  </si>
  <si>
    <t>BEEFEATER 24 0,70 LT</t>
  </si>
  <si>
    <t>BEEFEATER 1,50 LT</t>
  </si>
  <si>
    <t>BOMBAY 1,5 LT</t>
  </si>
  <si>
    <t>GRUPPO MONTENEGRO</t>
  </si>
  <si>
    <t>MAYSTA 1,0 LT</t>
  </si>
  <si>
    <t>BELUGA  0,70 LT</t>
  </si>
  <si>
    <t>BELUGA  1,50 LT</t>
  </si>
  <si>
    <t>BELUGA  3,00 LT</t>
  </si>
  <si>
    <t>EDGAR 1,0 LT</t>
  </si>
  <si>
    <t>JAGERMAISTER 0,70 LT</t>
  </si>
  <si>
    <t>TEQUILA CUERVO 1,0 LT</t>
  </si>
  <si>
    <t>SELECT (BITTER) 1,0 LT</t>
  </si>
  <si>
    <t>KRAKEN 0,70 LT</t>
  </si>
  <si>
    <t>PAMPERO BLANCO 0,70 LT</t>
  </si>
  <si>
    <t>PAMPERO ESPECIAL 0,70 LT</t>
  </si>
  <si>
    <t>EUROSPIN</t>
  </si>
  <si>
    <t>VARIE</t>
  </si>
  <si>
    <t>GRAPPA BARRICATA</t>
  </si>
  <si>
    <t>MONTENEGRO</t>
  </si>
  <si>
    <t>RUM</t>
  </si>
  <si>
    <t>TAPPI X PROSECCO</t>
  </si>
  <si>
    <t>COLTELLO A SEGA</t>
  </si>
  <si>
    <t>PINZETTE X FRUTTA</t>
  </si>
  <si>
    <t>LIMONI A RETE</t>
  </si>
  <si>
    <t>ARANCE A RETE</t>
  </si>
  <si>
    <t>Totale Ivato TUTTI FORNITORI</t>
  </si>
  <si>
    <t>96</t>
  </si>
  <si>
    <t>ORDINE 22/11/25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</si>
</sst>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€-2]\ #,##0.00"/>
  </numFmts>
  <fonts count="13">
    <font>
      <sz val="10.0"/>
      <color rgb="FF000000"/>
      <name val="Arial"/>
      <scheme val="minor"/>
    </font>
    <font>
      <b/>
      <sz val="16.0"/>
      <color theme="1"/>
      <name val="Arial"/>
      <scheme val="minor"/>
    </font>
    <font/>
    <font>
      <b/>
      <sz val="13.0"/>
      <color theme="1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b/>
      <sz val="12.0"/>
      <color rgb="FF000000"/>
      <name val="Arial"/>
    </font>
    <font>
      <sz val="14.0"/>
      <color theme="1"/>
      <name val="Arial"/>
    </font>
    <font>
      <color theme="1"/>
      <name val="Arial"/>
      <scheme val="minor"/>
    </font>
    <font>
      <b/>
      <sz val="13.0"/>
      <color theme="1"/>
      <name val="Arial"/>
    </font>
    <font>
      <b/>
      <sz val="14.0"/>
      <color theme="1"/>
      <name val="Arial"/>
    </font>
    <font>
      <b/>
      <sz val="16.0"/>
      <color rgb="FF000000"/>
      <name val="Arial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2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</border>
    <border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000000"/>
      </left>
      <top style="thin">
        <color rgb="FF000000"/>
      </top>
      <bottom style="thin">
        <color rgb="FF666666"/>
      </bottom>
    </border>
    <border>
      <top style="thin">
        <color rgb="FF000000"/>
      </top>
      <bottom style="thin">
        <color rgb="FF666666"/>
      </bottom>
    </border>
    <border>
      <right style="thin">
        <color rgb="FF666666"/>
      </right>
      <top style="thin">
        <color rgb="FF000000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</border>
    <border>
      <right style="thin">
        <color rgb="FF666666"/>
      </right>
    </border>
    <border>
      <right style="thin">
        <color rgb="FF666666"/>
      </right>
      <top style="thin">
        <color rgb="FF000000"/>
      </top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readingOrder="0" vertical="center"/>
    </xf>
    <xf borderId="4" fillId="3" fontId="3" numFmtId="0" xfId="0" applyAlignment="1" applyBorder="1" applyFont="1">
      <alignment horizontal="center" readingOrder="0" vertical="center"/>
    </xf>
    <xf borderId="5" fillId="4" fontId="4" numFmtId="164" xfId="0" applyAlignment="1" applyBorder="1" applyFill="1" applyFont="1" applyNumberFormat="1">
      <alignment vertical="center"/>
    </xf>
    <xf borderId="6" fillId="0" fontId="2" numFmtId="0" xfId="0" applyBorder="1" applyFont="1"/>
    <xf borderId="7" fillId="0" fontId="2" numFmtId="0" xfId="0" applyBorder="1" applyFont="1"/>
    <xf borderId="4" fillId="5" fontId="5" numFmtId="0" xfId="0" applyAlignment="1" applyBorder="1" applyFill="1" applyFont="1">
      <alignment horizontal="left" vertical="center"/>
    </xf>
    <xf borderId="4" fillId="6" fontId="5" numFmtId="49" xfId="0" applyAlignment="1" applyBorder="1" applyFill="1" applyFont="1" applyNumberFormat="1">
      <alignment horizontal="center" vertical="center"/>
    </xf>
    <xf borderId="4" fillId="6" fontId="5" numFmtId="49" xfId="0" applyAlignment="1" applyBorder="1" applyFont="1" applyNumberFormat="1">
      <alignment horizontal="center" vertical="center"/>
    </xf>
    <xf borderId="4" fillId="6" fontId="5" numFmtId="164" xfId="0" applyAlignment="1" applyBorder="1" applyFont="1" applyNumberFormat="1">
      <alignment horizontal="center" vertical="center"/>
    </xf>
    <xf borderId="4" fillId="7" fontId="5" numFmtId="164" xfId="0" applyAlignment="1" applyBorder="1" applyFill="1" applyFont="1" applyNumberFormat="1">
      <alignment horizontal="center" vertical="center"/>
    </xf>
    <xf borderId="4" fillId="6" fontId="5" numFmtId="49" xfId="0" applyAlignment="1" applyBorder="1" applyFont="1" applyNumberFormat="1">
      <alignment horizontal="center" readingOrder="0" vertical="center"/>
    </xf>
    <xf borderId="4" fillId="6" fontId="5" numFmtId="0" xfId="0" applyAlignment="1" applyBorder="1" applyFont="1">
      <alignment horizontal="center" readingOrder="0" vertical="center"/>
    </xf>
    <xf borderId="4" fillId="6" fontId="5" numFmtId="0" xfId="0" applyAlignment="1" applyBorder="1" applyFont="1">
      <alignment horizontal="center" vertical="center"/>
    </xf>
    <xf borderId="8" fillId="5" fontId="5" numFmtId="164" xfId="0" applyAlignment="1" applyBorder="1" applyFont="1" applyNumberFormat="1">
      <alignment horizontal="left" vertical="center"/>
    </xf>
    <xf borderId="8" fillId="6" fontId="5" numFmtId="49" xfId="0" applyAlignment="1" applyBorder="1" applyFont="1" applyNumberFormat="1">
      <alignment horizontal="center" vertical="center"/>
    </xf>
    <xf borderId="8" fillId="6" fontId="5" numFmtId="49" xfId="0" applyAlignment="1" applyBorder="1" applyFont="1" applyNumberFormat="1">
      <alignment horizontal="center" readingOrder="0" vertical="center"/>
    </xf>
    <xf borderId="9" fillId="4" fontId="4" numFmtId="164" xfId="0" applyAlignment="1" applyBorder="1" applyFont="1" applyNumberFormat="1">
      <alignment vertical="center"/>
    </xf>
    <xf borderId="10" fillId="0" fontId="2" numFmtId="0" xfId="0" applyBorder="1" applyFont="1"/>
    <xf borderId="11" fillId="0" fontId="2" numFmtId="0" xfId="0" applyBorder="1" applyFont="1"/>
    <xf borderId="4" fillId="5" fontId="5" numFmtId="164" xfId="0" applyAlignment="1" applyBorder="1" applyFont="1" applyNumberFormat="1">
      <alignment vertical="center"/>
    </xf>
    <xf borderId="8" fillId="6" fontId="5" numFmtId="49" xfId="0" applyAlignment="1" applyBorder="1" applyFont="1" applyNumberFormat="1">
      <alignment horizontal="center" vertical="center"/>
    </xf>
    <xf borderId="8" fillId="6" fontId="5" numFmtId="164" xfId="0" applyAlignment="1" applyBorder="1" applyFont="1" applyNumberFormat="1">
      <alignment horizontal="center" vertical="center"/>
    </xf>
    <xf borderId="4" fillId="5" fontId="5" numFmtId="0" xfId="0" applyAlignment="1" applyBorder="1" applyFont="1">
      <alignment vertical="center"/>
    </xf>
    <xf borderId="8" fillId="6" fontId="5" numFmtId="0" xfId="0" applyAlignment="1" applyBorder="1" applyFont="1">
      <alignment horizontal="center" readingOrder="0" vertical="center"/>
    </xf>
    <xf borderId="8" fillId="6" fontId="5" numFmtId="0" xfId="0" applyAlignment="1" applyBorder="1" applyFont="1">
      <alignment horizontal="center" vertical="center"/>
    </xf>
    <xf borderId="8" fillId="5" fontId="5" numFmtId="0" xfId="0" applyAlignment="1" applyBorder="1" applyFont="1">
      <alignment vertical="center"/>
    </xf>
    <xf borderId="12" fillId="4" fontId="6" numFmtId="0" xfId="0" applyAlignment="1" applyBorder="1" applyFont="1">
      <alignment vertical="center"/>
    </xf>
    <xf borderId="13" fillId="0" fontId="2" numFmtId="0" xfId="0" applyBorder="1" applyFont="1"/>
    <xf borderId="14" fillId="0" fontId="2" numFmtId="0" xfId="0" applyBorder="1" applyFont="1"/>
    <xf borderId="15" fillId="6" fontId="5" numFmtId="0" xfId="0" applyAlignment="1" applyBorder="1" applyFont="1">
      <alignment horizontal="center" vertical="center"/>
    </xf>
    <xf borderId="15" fillId="6" fontId="5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vertical="center"/>
    </xf>
    <xf borderId="4" fillId="5" fontId="5" numFmtId="0" xfId="0" applyBorder="1" applyFont="1"/>
    <xf borderId="8" fillId="6" fontId="5" numFmtId="49" xfId="0" applyAlignment="1" applyBorder="1" applyFont="1" applyNumberFormat="1">
      <alignment horizontal="center" readingOrder="0" vertical="center"/>
    </xf>
    <xf borderId="16" fillId="4" fontId="4" numFmtId="164" xfId="0" applyAlignment="1" applyBorder="1" applyFont="1" applyNumberFormat="1">
      <alignment vertical="center"/>
    </xf>
    <xf borderId="17" fillId="0" fontId="2" numFmtId="0" xfId="0" applyBorder="1" applyFont="1"/>
    <xf borderId="16" fillId="4" fontId="6" numFmtId="0" xfId="0" applyAlignment="1" applyBorder="1" applyFont="1">
      <alignment vertical="center"/>
    </xf>
    <xf borderId="4" fillId="5" fontId="5" numFmtId="0" xfId="0" applyAlignment="1" applyBorder="1" applyFont="1">
      <alignment vertical="center"/>
    </xf>
    <xf borderId="18" fillId="0" fontId="2" numFmtId="0" xfId="0" applyBorder="1" applyFont="1"/>
    <xf borderId="4" fillId="6" fontId="5" numFmtId="0" xfId="0" applyAlignment="1" applyBorder="1" applyFont="1">
      <alignment vertical="center"/>
    </xf>
    <xf borderId="4" fillId="6" fontId="5" numFmtId="0" xfId="0" applyAlignment="1" applyBorder="1" applyFont="1">
      <alignment vertical="center"/>
    </xf>
    <xf borderId="4" fillId="6" fontId="5" numFmtId="0" xfId="0" applyAlignment="1" applyBorder="1" applyFont="1">
      <alignment horizontal="center" vertical="center"/>
    </xf>
    <xf borderId="12" fillId="3" fontId="4" numFmtId="0" xfId="0" applyAlignment="1" applyBorder="1" applyFont="1">
      <alignment vertical="center"/>
    </xf>
    <xf borderId="4" fillId="3" fontId="7" numFmtId="164" xfId="0" applyAlignment="1" applyBorder="1" applyFont="1" applyNumberFormat="1">
      <alignment horizontal="center" vertical="center"/>
    </xf>
    <xf borderId="0" fillId="6" fontId="8" numFmtId="0" xfId="0" applyFont="1"/>
    <xf borderId="12" fillId="7" fontId="9" numFmtId="0" xfId="0" applyAlignment="1" applyBorder="1" applyFont="1">
      <alignment vertical="center"/>
    </xf>
    <xf borderId="4" fillId="7" fontId="7" numFmtId="164" xfId="0" applyAlignment="1" applyBorder="1" applyFont="1" applyNumberFormat="1">
      <alignment horizontal="center" vertical="center"/>
    </xf>
    <xf borderId="12" fillId="8" fontId="10" numFmtId="0" xfId="0" applyAlignment="1" applyBorder="1" applyFill="1" applyFont="1">
      <alignment vertical="center"/>
    </xf>
    <xf borderId="4" fillId="8" fontId="10" numFmtId="164" xfId="0" applyAlignment="1" applyBorder="1" applyFont="1" applyNumberFormat="1">
      <alignment horizontal="center" vertical="center"/>
    </xf>
    <xf borderId="12" fillId="2" fontId="1" numFmtId="0" xfId="0" applyAlignment="1" applyBorder="1" applyFont="1">
      <alignment horizontal="center" readingOrder="0" vertical="center"/>
    </xf>
    <xf borderId="12" fillId="4" fontId="4" numFmtId="164" xfId="0" applyAlignment="1" applyBorder="1" applyFont="1" applyNumberFormat="1">
      <alignment vertical="center"/>
    </xf>
    <xf borderId="4" fillId="7" fontId="5" numFmtId="0" xfId="0" applyAlignment="1" applyBorder="1" applyFont="1">
      <alignment readingOrder="0" vertical="center"/>
    </xf>
    <xf borderId="4" fillId="0" fontId="5" numFmtId="0" xfId="0" applyAlignment="1" applyBorder="1" applyFont="1">
      <alignment horizontal="center" readingOrder="0" vertical="center"/>
    </xf>
    <xf borderId="4" fillId="0" fontId="5" numFmtId="164" xfId="0" applyAlignment="1" applyBorder="1" applyFont="1" applyNumberFormat="1">
      <alignment horizontal="center" readingOrder="0" vertical="center"/>
    </xf>
    <xf borderId="4" fillId="0" fontId="5" numFmtId="164" xfId="0" applyAlignment="1" applyBorder="1" applyFont="1" applyNumberFormat="1">
      <alignment horizontal="center" vertical="center"/>
    </xf>
    <xf borderId="4" fillId="5" fontId="5" numFmtId="0" xfId="0" applyAlignment="1" applyBorder="1" applyFont="1">
      <alignment readingOrder="0" vertical="center"/>
    </xf>
    <xf borderId="4" fillId="6" fontId="5" numFmtId="164" xfId="0" applyAlignment="1" applyBorder="1" applyFont="1" applyNumberFormat="1">
      <alignment horizontal="center" readingOrder="0" vertical="center"/>
    </xf>
    <xf borderId="4" fillId="6" fontId="5" numFmtId="164" xfId="0" applyAlignment="1" applyBorder="1" applyFont="1" applyNumberFormat="1">
      <alignment horizontal="center" vertical="center"/>
    </xf>
    <xf borderId="12" fillId="4" fontId="6" numFmtId="0" xfId="0" applyAlignment="1" applyBorder="1" applyFont="1">
      <alignment readingOrder="0" vertical="center"/>
    </xf>
    <xf borderId="12" fillId="4" fontId="4" numFmtId="0" xfId="0" applyAlignment="1" applyBorder="1" applyFont="1">
      <alignment vertical="center"/>
    </xf>
    <xf borderId="12" fillId="4" fontId="6" numFmtId="0" xfId="0" applyAlignment="1" applyBorder="1" applyFont="1">
      <alignment vertical="center"/>
    </xf>
    <xf borderId="4" fillId="7" fontId="5" numFmtId="0" xfId="0" applyAlignment="1" applyBorder="1" applyFont="1">
      <alignment vertical="center"/>
    </xf>
    <xf borderId="4" fillId="3" fontId="7" numFmtId="164" xfId="0" applyAlignment="1" applyBorder="1" applyFont="1" applyNumberFormat="1">
      <alignment horizontal="center" vertical="center"/>
    </xf>
    <xf borderId="19" fillId="8" fontId="10" numFmtId="164" xfId="0" applyAlignment="1" applyBorder="1" applyFont="1" applyNumberFormat="1">
      <alignment horizontal="center" vertical="center"/>
    </xf>
    <xf borderId="12" fillId="4" fontId="4" numFmtId="0" xfId="0" applyAlignment="1" applyBorder="1" applyFont="1">
      <alignment vertical="center"/>
    </xf>
    <xf borderId="4" fillId="5" fontId="5" numFmtId="164" xfId="0" applyAlignment="1" applyBorder="1" applyFont="1" applyNumberFormat="1">
      <alignment readingOrder="0" vertical="center"/>
    </xf>
    <xf borderId="4" fillId="7" fontId="5" numFmtId="0" xfId="0" applyAlignment="1" applyBorder="1" applyFont="1">
      <alignment vertical="center"/>
    </xf>
    <xf borderId="8" fillId="6" fontId="5" numFmtId="0" xfId="0" applyAlignment="1" applyBorder="1" applyFont="1">
      <alignment horizontal="center" vertical="center"/>
    </xf>
    <xf borderId="0" fillId="2" fontId="11" numFmtId="0" xfId="0" applyAlignment="1" applyFont="1">
      <alignment horizontal="center" vertical="center"/>
    </xf>
    <xf borderId="12" fillId="5" fontId="5" numFmtId="0" xfId="0" applyAlignment="1" applyBorder="1" applyFont="1">
      <alignment vertical="center"/>
    </xf>
    <xf borderId="20" fillId="6" fontId="5" numFmtId="0" xfId="0" applyAlignment="1" applyBorder="1" applyFont="1">
      <alignment horizontal="center" vertical="center"/>
    </xf>
    <xf borderId="7" fillId="6" fontId="5" numFmtId="0" xfId="0" applyAlignment="1" applyBorder="1" applyFont="1">
      <alignment horizontal="center" vertical="center"/>
    </xf>
    <xf borderId="5" fillId="5" fontId="5" numFmtId="0" xfId="0" applyAlignment="1" applyBorder="1" applyFont="1">
      <alignment vertical="center"/>
    </xf>
    <xf borderId="20" fillId="5" fontId="5" numFmtId="0" xfId="0" applyAlignment="1" applyBorder="1" applyFont="1">
      <alignment vertical="center"/>
    </xf>
    <xf borderId="20" fillId="6" fontId="5" numFmtId="0" xfId="0" applyAlignment="1" applyBorder="1" applyFont="1">
      <alignment horizontal="center" readingOrder="0" vertical="center"/>
    </xf>
    <xf borderId="14" fillId="6" fontId="5" numFmtId="164" xfId="0" applyAlignment="1" applyBorder="1" applyFont="1" applyNumberFormat="1">
      <alignment horizontal="center" vertical="center"/>
    </xf>
    <xf borderId="0" fillId="6" fontId="1" numFmtId="0" xfId="0" applyAlignment="1" applyFont="1">
      <alignment horizontal="center" readingOrder="0" vertical="center"/>
    </xf>
    <xf borderId="12" fillId="4" fontId="10" numFmtId="164" xfId="0" applyAlignment="1" applyBorder="1" applyFont="1" applyNumberFormat="1">
      <alignment readingOrder="0" vertical="center"/>
    </xf>
    <xf borderId="4" fillId="9" fontId="5" numFmtId="164" xfId="0" applyAlignment="1" applyBorder="1" applyFill="1" applyFont="1" applyNumberFormat="1">
      <alignment horizontal="center" readingOrder="0" vertical="center"/>
    </xf>
    <xf borderId="12" fillId="8" fontId="10" numFmtId="0" xfId="0" applyAlignment="1" applyBorder="1" applyFont="1">
      <alignment readingOrder="0" vertical="center"/>
    </xf>
    <xf borderId="4" fillId="6" fontId="5" numFmtId="49" xfId="0" applyAlignment="1" applyBorder="1" applyFont="1" applyNumberFormat="1">
      <alignment horizontal="center" readingOrder="0" vertical="center"/>
    </xf>
    <xf borderId="1" fillId="4" fontId="4" numFmtId="0" xfId="0" applyBorder="1" applyFont="1"/>
    <xf borderId="4" fillId="7" fontId="5" numFmtId="0" xfId="0" applyBorder="1" applyFont="1"/>
    <xf borderId="8" fillId="6" fontId="12" numFmtId="0" xfId="0" applyBorder="1" applyFont="1"/>
    <xf borderId="4" fillId="10" fontId="5" numFmtId="164" xfId="0" applyAlignment="1" applyBorder="1" applyFill="1" applyFont="1" applyNumberFormat="1">
      <alignment horizontal="center"/>
    </xf>
    <xf borderId="12" fillId="5" fontId="5" numFmtId="0" xfId="0" applyBorder="1" applyFont="1"/>
    <xf borderId="20" fillId="6" fontId="5" numFmtId="0" xfId="0" applyAlignment="1" applyBorder="1" applyFont="1">
      <alignment horizontal="center"/>
    </xf>
    <xf borderId="7" fillId="6" fontId="12" numFmtId="0" xfId="0" applyBorder="1" applyFont="1"/>
    <xf borderId="4" fillId="11" fontId="5" numFmtId="164" xfId="0" applyAlignment="1" applyBorder="1" applyFill="1" applyFont="1" applyNumberFormat="1">
      <alignment horizontal="center"/>
    </xf>
    <xf borderId="5" fillId="5" fontId="5" numFmtId="0" xfId="0" applyBorder="1" applyFont="1"/>
    <xf borderId="20" fillId="6" fontId="12" numFmtId="0" xfId="0" applyBorder="1" applyFont="1"/>
    <xf borderId="20" fillId="5" fontId="5" numFmtId="0" xfId="0" applyBorder="1" applyFont="1"/>
    <xf borderId="14" fillId="11" fontId="5" numFmtId="164" xfId="0" applyAlignment="1" applyBorder="1" applyFont="1" applyNumberFormat="1">
      <alignment horizontal="center"/>
    </xf>
    <xf borderId="16" fillId="4" fontId="4" numFmtId="164" xfId="0" applyBorder="1" applyFont="1" applyNumberFormat="1"/>
    <xf borderId="12" fillId="4" fontId="10" numFmtId="164" xfId="0" applyBorder="1" applyFont="1" applyNumberFormat="1"/>
    <xf borderId="8" fillId="6" fontId="5" numFmtId="0" xfId="0" applyAlignment="1" applyBorder="1" applyFont="1">
      <alignment horizontal="center"/>
    </xf>
    <xf borderId="12" fillId="4" fontId="10" numFmtId="0" xfId="0" applyBorder="1" applyFont="1"/>
    <xf borderId="4" fillId="6" fontId="5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0.13"/>
    <col customWidth="1" min="2" max="3" width="22.13"/>
    <col customWidth="1" min="4" max="4" width="18.88"/>
    <col customWidth="1" min="5" max="5" width="16.38"/>
  </cols>
  <sheetData>
    <row r="1" ht="30.0" customHeight="1">
      <c r="A1" s="1" t="s">
        <v>0</v>
      </c>
      <c r="B1" s="2"/>
      <c r="C1" s="2"/>
      <c r="D1" s="2"/>
      <c r="E1" s="3"/>
    </row>
    <row r="2" ht="30.0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ht="26.25" customHeight="1">
      <c r="A3" s="6" t="s">
        <v>6</v>
      </c>
      <c r="B3" s="7"/>
      <c r="C3" s="7"/>
      <c r="D3" s="7"/>
      <c r="E3" s="8"/>
    </row>
    <row r="4" ht="26.25" customHeight="1">
      <c r="A4" s="9" t="s">
        <v>7</v>
      </c>
      <c r="B4" s="10" t="s">
        <v>8</v>
      </c>
      <c r="C4" s="11"/>
      <c r="D4" s="12">
        <v>12.8</v>
      </c>
      <c r="E4" s="13">
        <f t="shared" ref="E4:E25" si="1">B4*D4</f>
        <v>25.6</v>
      </c>
    </row>
    <row r="5" ht="26.25" customHeight="1">
      <c r="A5" s="9" t="s">
        <v>9</v>
      </c>
      <c r="B5" s="10" t="s">
        <v>10</v>
      </c>
      <c r="C5" s="11"/>
      <c r="D5" s="12">
        <v>11.7</v>
      </c>
      <c r="E5" s="13">
        <f t="shared" si="1"/>
        <v>11.7</v>
      </c>
    </row>
    <row r="6" ht="26.25" customHeight="1">
      <c r="A6" s="9" t="s">
        <v>11</v>
      </c>
      <c r="B6" s="10" t="s">
        <v>10</v>
      </c>
      <c r="C6" s="11"/>
      <c r="D6" s="12">
        <v>8.64</v>
      </c>
      <c r="E6" s="13">
        <f t="shared" si="1"/>
        <v>8.64</v>
      </c>
    </row>
    <row r="7" ht="26.25" customHeight="1">
      <c r="A7" s="9" t="s">
        <v>12</v>
      </c>
      <c r="B7" s="10" t="s">
        <v>13</v>
      </c>
      <c r="C7" s="11"/>
      <c r="D7" s="12">
        <v>6.21</v>
      </c>
      <c r="E7" s="13">
        <f t="shared" si="1"/>
        <v>18.63</v>
      </c>
    </row>
    <row r="8" ht="26.25" customHeight="1">
      <c r="A8" s="9" t="s">
        <v>14</v>
      </c>
      <c r="B8" s="14" t="s">
        <v>15</v>
      </c>
      <c r="C8" s="11"/>
      <c r="D8" s="12">
        <v>4.41</v>
      </c>
      <c r="E8" s="13">
        <f t="shared" si="1"/>
        <v>0</v>
      </c>
    </row>
    <row r="9" ht="26.25" customHeight="1">
      <c r="A9" s="9" t="s">
        <v>16</v>
      </c>
      <c r="B9" s="10" t="s">
        <v>17</v>
      </c>
      <c r="C9" s="14" t="s">
        <v>18</v>
      </c>
      <c r="D9" s="12">
        <v>0.18</v>
      </c>
      <c r="E9" s="13">
        <f t="shared" si="1"/>
        <v>86.4</v>
      </c>
    </row>
    <row r="10" ht="26.25" customHeight="1">
      <c r="A10" s="9" t="s">
        <v>19</v>
      </c>
      <c r="B10" s="10" t="s">
        <v>20</v>
      </c>
      <c r="C10" s="14" t="s">
        <v>8</v>
      </c>
      <c r="D10" s="12">
        <v>0.18</v>
      </c>
      <c r="E10" s="13">
        <f t="shared" si="1"/>
        <v>8.64</v>
      </c>
    </row>
    <row r="11" ht="26.25" customHeight="1">
      <c r="A11" s="9" t="s">
        <v>21</v>
      </c>
      <c r="B11" s="10" t="s">
        <v>17</v>
      </c>
      <c r="C11" s="14" t="s">
        <v>18</v>
      </c>
      <c r="D11" s="12">
        <v>1.05</v>
      </c>
      <c r="E11" s="13">
        <f t="shared" si="1"/>
        <v>504</v>
      </c>
    </row>
    <row r="12" ht="26.25" customHeight="1">
      <c r="A12" s="9" t="s">
        <v>22</v>
      </c>
      <c r="B12" s="10" t="s">
        <v>20</v>
      </c>
      <c r="C12" s="14" t="s">
        <v>8</v>
      </c>
      <c r="D12" s="12">
        <v>1.18</v>
      </c>
      <c r="E12" s="13">
        <f t="shared" si="1"/>
        <v>56.64</v>
      </c>
    </row>
    <row r="13" ht="26.25" customHeight="1">
      <c r="A13" s="9" t="s">
        <v>23</v>
      </c>
      <c r="B13" s="10" t="s">
        <v>20</v>
      </c>
      <c r="C13" s="14" t="s">
        <v>8</v>
      </c>
      <c r="D13" s="12">
        <v>1.18</v>
      </c>
      <c r="E13" s="13">
        <f t="shared" si="1"/>
        <v>56.64</v>
      </c>
    </row>
    <row r="14" ht="26.25" customHeight="1">
      <c r="A14" s="9" t="s">
        <v>24</v>
      </c>
      <c r="B14" s="10" t="s">
        <v>25</v>
      </c>
      <c r="C14" s="14" t="s">
        <v>26</v>
      </c>
      <c r="D14" s="12">
        <v>0.98</v>
      </c>
      <c r="E14" s="13">
        <f t="shared" si="1"/>
        <v>141.12</v>
      </c>
    </row>
    <row r="15" ht="26.25" customHeight="1">
      <c r="A15" s="9" t="s">
        <v>27</v>
      </c>
      <c r="B15" s="10" t="s">
        <v>28</v>
      </c>
      <c r="C15" s="14" t="s">
        <v>29</v>
      </c>
      <c r="D15" s="12">
        <v>0.98</v>
      </c>
      <c r="E15" s="13">
        <f t="shared" si="1"/>
        <v>235.2</v>
      </c>
    </row>
    <row r="16" ht="26.25" customHeight="1">
      <c r="A16" s="9" t="s">
        <v>30</v>
      </c>
      <c r="B16" s="15">
        <v>0.0</v>
      </c>
      <c r="C16" s="16"/>
      <c r="D16" s="12">
        <v>0.81</v>
      </c>
      <c r="E16" s="13">
        <f t="shared" si="1"/>
        <v>0</v>
      </c>
    </row>
    <row r="17" ht="26.25" customHeight="1">
      <c r="A17" s="9" t="s">
        <v>31</v>
      </c>
      <c r="B17" s="15">
        <v>0.0</v>
      </c>
      <c r="C17" s="16"/>
      <c r="D17" s="12">
        <v>0.81</v>
      </c>
      <c r="E17" s="13">
        <f t="shared" si="1"/>
        <v>0</v>
      </c>
    </row>
    <row r="18" ht="26.25" customHeight="1">
      <c r="A18" s="9" t="s">
        <v>32</v>
      </c>
      <c r="B18" s="14" t="s">
        <v>15</v>
      </c>
      <c r="C18" s="11"/>
      <c r="D18" s="12">
        <v>1.78</v>
      </c>
      <c r="E18" s="13">
        <f t="shared" si="1"/>
        <v>0</v>
      </c>
    </row>
    <row r="19" ht="26.25" customHeight="1">
      <c r="A19" s="9" t="s">
        <v>33</v>
      </c>
      <c r="B19" s="16">
        <v>48.0</v>
      </c>
      <c r="C19" s="15">
        <v>2.0</v>
      </c>
      <c r="D19" s="12">
        <v>0.68</v>
      </c>
      <c r="E19" s="13">
        <f t="shared" si="1"/>
        <v>32.64</v>
      </c>
    </row>
    <row r="20" ht="26.25" customHeight="1">
      <c r="A20" s="9" t="s">
        <v>34</v>
      </c>
      <c r="B20" s="15">
        <v>0.0</v>
      </c>
      <c r="C20" s="16"/>
      <c r="D20" s="12">
        <v>0.68</v>
      </c>
      <c r="E20" s="13">
        <f t="shared" si="1"/>
        <v>0</v>
      </c>
    </row>
    <row r="21" ht="26.25" customHeight="1">
      <c r="A21" s="9" t="s">
        <v>35</v>
      </c>
      <c r="B21" s="15">
        <v>0.0</v>
      </c>
      <c r="C21" s="16"/>
      <c r="D21" s="12">
        <v>0.58</v>
      </c>
      <c r="E21" s="13">
        <f t="shared" si="1"/>
        <v>0</v>
      </c>
    </row>
    <row r="22" ht="26.25" customHeight="1">
      <c r="A22" s="9" t="s">
        <v>36</v>
      </c>
      <c r="B22" s="14" t="s">
        <v>15</v>
      </c>
      <c r="C22" s="11"/>
      <c r="D22" s="12">
        <v>1.17</v>
      </c>
      <c r="E22" s="13">
        <f t="shared" si="1"/>
        <v>0</v>
      </c>
    </row>
    <row r="23" ht="26.25" customHeight="1">
      <c r="A23" s="9" t="s">
        <v>37</v>
      </c>
      <c r="B23" s="14" t="s">
        <v>15</v>
      </c>
      <c r="C23" s="11"/>
      <c r="D23" s="12">
        <v>1.17</v>
      </c>
      <c r="E23" s="13">
        <f t="shared" si="1"/>
        <v>0</v>
      </c>
    </row>
    <row r="24" ht="26.25" customHeight="1">
      <c r="A24" s="9" t="s">
        <v>38</v>
      </c>
      <c r="B24" s="10" t="s">
        <v>39</v>
      </c>
      <c r="C24" s="14" t="s">
        <v>13</v>
      </c>
      <c r="D24" s="12">
        <v>2.13</v>
      </c>
      <c r="E24" s="13">
        <f t="shared" si="1"/>
        <v>38.34</v>
      </c>
    </row>
    <row r="25" ht="26.25" customHeight="1">
      <c r="A25" s="17" t="s">
        <v>40</v>
      </c>
      <c r="B25" s="18" t="s">
        <v>41</v>
      </c>
      <c r="C25" s="19" t="s">
        <v>42</v>
      </c>
      <c r="D25" s="12">
        <v>1.9</v>
      </c>
      <c r="E25" s="13">
        <f t="shared" si="1"/>
        <v>45.6</v>
      </c>
    </row>
    <row r="26" ht="26.25" customHeight="1">
      <c r="A26" s="20" t="s">
        <v>43</v>
      </c>
      <c r="B26" s="21"/>
      <c r="C26" s="21"/>
      <c r="D26" s="21"/>
      <c r="E26" s="22"/>
    </row>
    <row r="27" ht="26.25" customHeight="1">
      <c r="A27" s="23" t="s">
        <v>44</v>
      </c>
      <c r="B27" s="14" t="s">
        <v>15</v>
      </c>
      <c r="C27" s="11"/>
      <c r="D27" s="12">
        <v>60.5</v>
      </c>
      <c r="E27" s="12">
        <f t="shared" ref="E27:E31" si="2">B27*D27</f>
        <v>0</v>
      </c>
    </row>
    <row r="28" ht="26.25" customHeight="1">
      <c r="A28" s="23" t="s">
        <v>45</v>
      </c>
      <c r="B28" s="14" t="s">
        <v>15</v>
      </c>
      <c r="C28" s="11"/>
      <c r="D28" s="12">
        <v>60.5</v>
      </c>
      <c r="E28" s="12">
        <f t="shared" si="2"/>
        <v>0</v>
      </c>
    </row>
    <row r="29" ht="26.25" customHeight="1">
      <c r="A29" s="23" t="s">
        <v>46</v>
      </c>
      <c r="B29" s="19" t="s">
        <v>15</v>
      </c>
      <c r="C29" s="24"/>
      <c r="D29" s="25">
        <v>60.5</v>
      </c>
      <c r="E29" s="12">
        <f t="shared" si="2"/>
        <v>0</v>
      </c>
    </row>
    <row r="30" ht="26.25" customHeight="1">
      <c r="A30" s="26" t="s">
        <v>47</v>
      </c>
      <c r="B30" s="27">
        <v>0.0</v>
      </c>
      <c r="C30" s="28"/>
      <c r="D30" s="12">
        <v>17.1</v>
      </c>
      <c r="E30" s="12">
        <f t="shared" si="2"/>
        <v>0</v>
      </c>
    </row>
    <row r="31" ht="26.25" customHeight="1">
      <c r="A31" s="29" t="s">
        <v>48</v>
      </c>
      <c r="B31" s="28">
        <v>3.0</v>
      </c>
      <c r="C31" s="28"/>
      <c r="D31" s="12">
        <v>26.55</v>
      </c>
      <c r="E31" s="12">
        <f t="shared" si="2"/>
        <v>79.65</v>
      </c>
    </row>
    <row r="32" ht="26.25" customHeight="1">
      <c r="A32" s="30" t="s">
        <v>49</v>
      </c>
      <c r="B32" s="31"/>
      <c r="C32" s="31"/>
      <c r="D32" s="31"/>
      <c r="E32" s="32"/>
    </row>
    <row r="33" ht="26.25" customHeight="1">
      <c r="A33" s="26" t="s">
        <v>50</v>
      </c>
      <c r="B33" s="33">
        <v>24.0</v>
      </c>
      <c r="C33" s="34">
        <v>4.0</v>
      </c>
      <c r="D33" s="12">
        <v>3.5</v>
      </c>
      <c r="E33" s="12">
        <f t="shared" ref="E33:E38" si="3">B33*D33</f>
        <v>84</v>
      </c>
    </row>
    <row r="34" ht="26.25" customHeight="1">
      <c r="A34" s="26" t="s">
        <v>51</v>
      </c>
      <c r="B34" s="34">
        <v>0.0</v>
      </c>
      <c r="C34" s="33"/>
      <c r="D34" s="12">
        <v>4.41</v>
      </c>
      <c r="E34" s="12">
        <f t="shared" si="3"/>
        <v>0</v>
      </c>
    </row>
    <row r="35" ht="26.25" customHeight="1">
      <c r="A35" s="26" t="s">
        <v>52</v>
      </c>
      <c r="B35" s="15">
        <v>0.0</v>
      </c>
      <c r="C35" s="16"/>
      <c r="D35" s="12">
        <v>5.13</v>
      </c>
      <c r="E35" s="12">
        <f t="shared" si="3"/>
        <v>0</v>
      </c>
    </row>
    <row r="36" ht="26.25" customHeight="1">
      <c r="A36" s="26" t="s">
        <v>53</v>
      </c>
      <c r="B36" s="16">
        <v>12.0</v>
      </c>
      <c r="C36" s="15">
        <v>2.0</v>
      </c>
      <c r="D36" s="12">
        <v>16.0</v>
      </c>
      <c r="E36" s="12">
        <f t="shared" si="3"/>
        <v>192</v>
      </c>
    </row>
    <row r="37" ht="26.25" customHeight="1">
      <c r="A37" s="26" t="s">
        <v>54</v>
      </c>
      <c r="B37" s="15">
        <v>0.0</v>
      </c>
      <c r="C37" s="16"/>
      <c r="D37" s="12">
        <v>35.55</v>
      </c>
      <c r="E37" s="12">
        <f t="shared" si="3"/>
        <v>0</v>
      </c>
    </row>
    <row r="38" ht="26.25" customHeight="1">
      <c r="A38" s="26" t="s">
        <v>55</v>
      </c>
      <c r="B38" s="15">
        <v>0.0</v>
      </c>
      <c r="C38" s="16"/>
      <c r="D38" s="12">
        <v>39.06</v>
      </c>
      <c r="E38" s="12">
        <f t="shared" si="3"/>
        <v>0</v>
      </c>
    </row>
    <row r="39" ht="26.25" customHeight="1">
      <c r="A39" s="35" t="s">
        <v>56</v>
      </c>
      <c r="B39" s="2"/>
      <c r="C39" s="2"/>
      <c r="D39" s="2"/>
      <c r="E39" s="3"/>
    </row>
    <row r="40" ht="26.25" customHeight="1">
      <c r="A40" s="36" t="s">
        <v>57</v>
      </c>
      <c r="B40" s="10" t="s">
        <v>58</v>
      </c>
      <c r="C40" s="14" t="s">
        <v>26</v>
      </c>
      <c r="D40" s="12">
        <v>10.5</v>
      </c>
      <c r="E40" s="12">
        <f t="shared" ref="E40:E45" si="4">B40*D40</f>
        <v>378</v>
      </c>
    </row>
    <row r="41" ht="26.25" customHeight="1">
      <c r="A41" s="36" t="s">
        <v>59</v>
      </c>
      <c r="B41" s="14" t="s">
        <v>15</v>
      </c>
      <c r="C41" s="11"/>
      <c r="D41" s="12">
        <v>19.98</v>
      </c>
      <c r="E41" s="12">
        <f t="shared" si="4"/>
        <v>0</v>
      </c>
    </row>
    <row r="42" ht="26.25" customHeight="1">
      <c r="A42" s="36" t="s">
        <v>60</v>
      </c>
      <c r="B42" s="10" t="s">
        <v>26</v>
      </c>
      <c r="C42" s="11"/>
      <c r="D42" s="12">
        <v>9.72</v>
      </c>
      <c r="E42" s="12">
        <f t="shared" si="4"/>
        <v>58.32</v>
      </c>
    </row>
    <row r="43" ht="26.25" customHeight="1">
      <c r="A43" s="36" t="s">
        <v>61</v>
      </c>
      <c r="B43" s="37" t="s">
        <v>15</v>
      </c>
      <c r="C43" s="19"/>
      <c r="D43" s="12">
        <v>13.8</v>
      </c>
      <c r="E43" s="12">
        <f t="shared" si="4"/>
        <v>0</v>
      </c>
    </row>
    <row r="44" ht="26.25" customHeight="1">
      <c r="A44" s="36" t="s">
        <v>62</v>
      </c>
      <c r="B44" s="18" t="s">
        <v>10</v>
      </c>
      <c r="C44" s="24"/>
      <c r="D44" s="12">
        <v>36.9</v>
      </c>
      <c r="E44" s="12">
        <f t="shared" si="4"/>
        <v>36.9</v>
      </c>
    </row>
    <row r="45" ht="26.25" customHeight="1">
      <c r="A45" s="36" t="s">
        <v>63</v>
      </c>
      <c r="B45" s="14" t="s">
        <v>15</v>
      </c>
      <c r="C45" s="11"/>
      <c r="D45" s="12">
        <v>33.57</v>
      </c>
      <c r="E45" s="12">
        <f t="shared" si="4"/>
        <v>0</v>
      </c>
    </row>
    <row r="46" ht="26.25" customHeight="1">
      <c r="A46" s="38" t="s">
        <v>64</v>
      </c>
      <c r="E46" s="39"/>
    </row>
    <row r="47" ht="26.25" customHeight="1">
      <c r="A47" s="26" t="s">
        <v>65</v>
      </c>
      <c r="B47" s="14" t="s">
        <v>15</v>
      </c>
      <c r="C47" s="11"/>
      <c r="D47" s="12">
        <v>9.0</v>
      </c>
      <c r="E47" s="12">
        <f t="shared" ref="E47:E58" si="5">B47*D47</f>
        <v>0</v>
      </c>
    </row>
    <row r="48" ht="26.25" customHeight="1">
      <c r="A48" s="26" t="s">
        <v>66</v>
      </c>
      <c r="B48" s="14" t="s">
        <v>15</v>
      </c>
      <c r="C48" s="11"/>
      <c r="D48" s="12">
        <v>10.6</v>
      </c>
      <c r="E48" s="12">
        <f t="shared" si="5"/>
        <v>0</v>
      </c>
    </row>
    <row r="49" ht="26.25" customHeight="1">
      <c r="A49" s="26" t="s">
        <v>67</v>
      </c>
      <c r="B49" s="14" t="s">
        <v>15</v>
      </c>
      <c r="C49" s="11"/>
      <c r="D49" s="12">
        <v>16.0</v>
      </c>
      <c r="E49" s="12">
        <f t="shared" si="5"/>
        <v>0</v>
      </c>
    </row>
    <row r="50" ht="26.25" customHeight="1">
      <c r="A50" s="26" t="s">
        <v>68</v>
      </c>
      <c r="B50" s="10" t="s">
        <v>26</v>
      </c>
      <c r="C50" s="14" t="s">
        <v>10</v>
      </c>
      <c r="D50" s="12">
        <v>15.4</v>
      </c>
      <c r="E50" s="12">
        <f t="shared" si="5"/>
        <v>92.4</v>
      </c>
    </row>
    <row r="51" ht="26.25" customHeight="1">
      <c r="A51" s="26" t="s">
        <v>69</v>
      </c>
      <c r="B51" s="14" t="s">
        <v>15</v>
      </c>
      <c r="C51" s="11"/>
      <c r="D51" s="12">
        <v>43.2</v>
      </c>
      <c r="E51" s="12">
        <f t="shared" si="5"/>
        <v>0</v>
      </c>
    </row>
    <row r="52" ht="26.25" customHeight="1">
      <c r="A52" s="26" t="s">
        <v>70</v>
      </c>
      <c r="B52" s="14" t="s">
        <v>15</v>
      </c>
      <c r="C52" s="11"/>
      <c r="D52" s="12">
        <v>13.6</v>
      </c>
      <c r="E52" s="12">
        <f t="shared" si="5"/>
        <v>0</v>
      </c>
    </row>
    <row r="53" ht="26.25" customHeight="1">
      <c r="A53" s="26" t="s">
        <v>71</v>
      </c>
      <c r="B53" s="14" t="s">
        <v>15</v>
      </c>
      <c r="C53" s="11"/>
      <c r="D53" s="12">
        <v>16.5</v>
      </c>
      <c r="E53" s="12">
        <f t="shared" si="5"/>
        <v>0</v>
      </c>
    </row>
    <row r="54" ht="26.25" customHeight="1">
      <c r="A54" s="26" t="s">
        <v>72</v>
      </c>
      <c r="B54" s="14" t="s">
        <v>15</v>
      </c>
      <c r="C54" s="11"/>
      <c r="D54" s="12">
        <v>24.2</v>
      </c>
      <c r="E54" s="12">
        <f t="shared" si="5"/>
        <v>0</v>
      </c>
    </row>
    <row r="55" ht="26.25" customHeight="1">
      <c r="A55" s="26" t="s">
        <v>73</v>
      </c>
      <c r="B55" s="14" t="s">
        <v>15</v>
      </c>
      <c r="C55" s="11"/>
      <c r="D55" s="12">
        <v>23.3</v>
      </c>
      <c r="E55" s="12">
        <f t="shared" si="5"/>
        <v>0</v>
      </c>
    </row>
    <row r="56" ht="26.25" customHeight="1">
      <c r="A56" s="26" t="s">
        <v>74</v>
      </c>
      <c r="B56" s="10" t="s">
        <v>26</v>
      </c>
      <c r="C56" s="14" t="s">
        <v>10</v>
      </c>
      <c r="D56" s="12">
        <v>30.0</v>
      </c>
      <c r="E56" s="12">
        <f t="shared" si="5"/>
        <v>180</v>
      </c>
    </row>
    <row r="57" ht="26.25" customHeight="1">
      <c r="A57" s="26" t="s">
        <v>75</v>
      </c>
      <c r="B57" s="14" t="s">
        <v>15</v>
      </c>
      <c r="C57" s="11"/>
      <c r="D57" s="12">
        <v>88.0</v>
      </c>
      <c r="E57" s="12">
        <f t="shared" si="5"/>
        <v>0</v>
      </c>
    </row>
    <row r="58" ht="26.25" customHeight="1">
      <c r="A58" s="26" t="s">
        <v>76</v>
      </c>
      <c r="B58" s="14" t="s">
        <v>15</v>
      </c>
      <c r="C58" s="11"/>
      <c r="D58" s="12">
        <v>29.7</v>
      </c>
      <c r="E58" s="12">
        <f t="shared" si="5"/>
        <v>0</v>
      </c>
    </row>
    <row r="59" ht="26.25" customHeight="1">
      <c r="A59" s="40" t="s">
        <v>77</v>
      </c>
      <c r="E59" s="39"/>
    </row>
    <row r="60" ht="26.25" customHeight="1">
      <c r="A60" s="26" t="s">
        <v>78</v>
      </c>
      <c r="B60" s="16">
        <v>6.0</v>
      </c>
      <c r="C60" s="15">
        <v>1.0</v>
      </c>
      <c r="D60" s="12">
        <v>12.54</v>
      </c>
      <c r="E60" s="12">
        <f t="shared" ref="E60:E70" si="6">B60*D60</f>
        <v>75.24</v>
      </c>
    </row>
    <row r="61" ht="26.25" customHeight="1">
      <c r="A61" s="26" t="s">
        <v>79</v>
      </c>
      <c r="B61" s="15">
        <v>0.0</v>
      </c>
      <c r="C61" s="16"/>
      <c r="D61" s="12">
        <v>17.55</v>
      </c>
      <c r="E61" s="12">
        <f t="shared" si="6"/>
        <v>0</v>
      </c>
    </row>
    <row r="62" ht="26.25" customHeight="1">
      <c r="A62" s="26" t="s">
        <v>80</v>
      </c>
      <c r="B62" s="15">
        <v>0.0</v>
      </c>
      <c r="C62" s="11"/>
      <c r="D62" s="12">
        <v>23.4</v>
      </c>
      <c r="E62" s="12">
        <f t="shared" si="6"/>
        <v>0</v>
      </c>
    </row>
    <row r="63" ht="26.25" customHeight="1">
      <c r="A63" s="26" t="s">
        <v>81</v>
      </c>
      <c r="B63" s="10" t="s">
        <v>8</v>
      </c>
      <c r="C63" s="11"/>
      <c r="D63" s="12">
        <v>33.12</v>
      </c>
      <c r="E63" s="12">
        <f t="shared" si="6"/>
        <v>66.24</v>
      </c>
    </row>
    <row r="64" ht="26.25" customHeight="1">
      <c r="A64" s="26" t="s">
        <v>82</v>
      </c>
      <c r="B64" s="10" t="s">
        <v>26</v>
      </c>
      <c r="C64" s="14" t="s">
        <v>10</v>
      </c>
      <c r="D64" s="12">
        <v>14.8</v>
      </c>
      <c r="E64" s="12">
        <f t="shared" si="6"/>
        <v>88.8</v>
      </c>
    </row>
    <row r="65" ht="26.25" customHeight="1">
      <c r="A65" s="26" t="s">
        <v>83</v>
      </c>
      <c r="B65" s="15">
        <v>0.0</v>
      </c>
      <c r="C65" s="11"/>
      <c r="D65" s="12">
        <v>11.9</v>
      </c>
      <c r="E65" s="12">
        <f t="shared" si="6"/>
        <v>0</v>
      </c>
    </row>
    <row r="66" ht="26.25" customHeight="1">
      <c r="A66" s="26" t="s">
        <v>84</v>
      </c>
      <c r="B66" s="10" t="s">
        <v>13</v>
      </c>
      <c r="C66" s="11"/>
      <c r="D66" s="12">
        <v>9.09</v>
      </c>
      <c r="E66" s="12">
        <f t="shared" si="6"/>
        <v>27.27</v>
      </c>
    </row>
    <row r="67" ht="26.25" customHeight="1">
      <c r="A67" s="26" t="s">
        <v>85</v>
      </c>
      <c r="B67" s="15">
        <v>0.0</v>
      </c>
      <c r="C67" s="11"/>
      <c r="D67" s="12">
        <v>15.2</v>
      </c>
      <c r="E67" s="12">
        <f t="shared" si="6"/>
        <v>0</v>
      </c>
    </row>
    <row r="68" ht="26.25" customHeight="1">
      <c r="A68" s="26" t="s">
        <v>86</v>
      </c>
      <c r="B68" s="15">
        <v>0.0</v>
      </c>
      <c r="C68" s="11"/>
      <c r="D68" s="12">
        <v>17.46</v>
      </c>
      <c r="E68" s="12">
        <f t="shared" si="6"/>
        <v>0</v>
      </c>
    </row>
    <row r="69" ht="26.25" customHeight="1">
      <c r="A69" s="41" t="s">
        <v>87</v>
      </c>
      <c r="B69" s="15">
        <v>0.0</v>
      </c>
      <c r="C69" s="11"/>
      <c r="D69" s="12">
        <v>7.85</v>
      </c>
      <c r="E69" s="12">
        <f t="shared" si="6"/>
        <v>0</v>
      </c>
    </row>
    <row r="70" ht="26.25" customHeight="1">
      <c r="A70" s="26" t="s">
        <v>88</v>
      </c>
      <c r="B70" s="28">
        <v>2.0</v>
      </c>
      <c r="C70" s="28"/>
      <c r="D70" s="12">
        <v>14.58</v>
      </c>
      <c r="E70" s="12">
        <f t="shared" si="6"/>
        <v>29.16</v>
      </c>
    </row>
    <row r="71" ht="26.25" customHeight="1">
      <c r="A71" s="35" t="s">
        <v>89</v>
      </c>
      <c r="B71" s="2"/>
      <c r="C71" s="2"/>
      <c r="D71" s="2"/>
      <c r="E71" s="42"/>
    </row>
    <row r="72" ht="26.25" customHeight="1">
      <c r="A72" s="41" t="s">
        <v>90</v>
      </c>
      <c r="B72" s="15">
        <v>0.0</v>
      </c>
      <c r="C72" s="43"/>
      <c r="D72" s="12">
        <v>0.88</v>
      </c>
      <c r="E72" s="12">
        <f t="shared" ref="E72:E73" si="7">B72*D72</f>
        <v>0</v>
      </c>
    </row>
    <row r="73" ht="26.25" customHeight="1">
      <c r="A73" s="41" t="s">
        <v>91</v>
      </c>
      <c r="B73" s="15">
        <v>0.0</v>
      </c>
      <c r="C73" s="44"/>
      <c r="D73" s="12">
        <v>1.01</v>
      </c>
      <c r="E73" s="12">
        <f t="shared" si="7"/>
        <v>0</v>
      </c>
    </row>
    <row r="74" ht="26.25" customHeight="1">
      <c r="A74" s="40" t="s">
        <v>92</v>
      </c>
      <c r="E74" s="39"/>
    </row>
    <row r="75" ht="30.0" customHeight="1">
      <c r="A75" s="41" t="s">
        <v>93</v>
      </c>
      <c r="B75" s="45">
        <v>2.0</v>
      </c>
      <c r="C75" s="45"/>
      <c r="D75" s="12">
        <v>5.94</v>
      </c>
      <c r="E75" s="12">
        <f t="shared" ref="E75:E76" si="8">B75*D75</f>
        <v>11.88</v>
      </c>
    </row>
    <row r="76" ht="26.25" customHeight="1">
      <c r="A76" s="41" t="s">
        <v>94</v>
      </c>
      <c r="B76" s="45">
        <v>60.0</v>
      </c>
      <c r="C76" s="15">
        <v>2.0</v>
      </c>
      <c r="D76" s="12">
        <v>2.7</v>
      </c>
      <c r="E76" s="12">
        <f t="shared" si="8"/>
        <v>162</v>
      </c>
    </row>
    <row r="77" ht="30.0" customHeight="1">
      <c r="A77" s="46" t="s">
        <v>95</v>
      </c>
      <c r="B77" s="31"/>
      <c r="C77" s="31"/>
      <c r="D77" s="31"/>
      <c r="E77" s="47">
        <f>SUM(E4:E76)</f>
        <v>2831.65</v>
      </c>
      <c r="F77" s="48"/>
    </row>
    <row r="78" ht="26.25" customHeight="1">
      <c r="A78" s="49" t="s">
        <v>96</v>
      </c>
      <c r="B78" s="31"/>
      <c r="C78" s="31"/>
      <c r="D78" s="31"/>
      <c r="E78" s="50">
        <f>E77*22%</f>
        <v>622.963</v>
      </c>
      <c r="F78" s="48"/>
    </row>
    <row r="79" ht="33.75" customHeight="1">
      <c r="A79" s="51" t="s">
        <v>97</v>
      </c>
      <c r="B79" s="31"/>
      <c r="C79" s="31"/>
      <c r="D79" s="31"/>
      <c r="E79" s="52">
        <f>E77+E78</f>
        <v>3454.613</v>
      </c>
      <c r="F79" s="48"/>
    </row>
    <row r="80" ht="26.25" customHeight="1">
      <c r="F80" s="48"/>
    </row>
    <row r="81" ht="26.25" customHeight="1">
      <c r="F81" s="48"/>
    </row>
    <row r="82" ht="30.0" customHeight="1">
      <c r="A82" s="53" t="s">
        <v>98</v>
      </c>
      <c r="B82" s="31"/>
      <c r="C82" s="31"/>
      <c r="D82" s="31"/>
      <c r="E82" s="32"/>
      <c r="F82" s="48"/>
    </row>
    <row r="83" ht="26.25" customHeight="1">
      <c r="A83" s="54" t="s">
        <v>6</v>
      </c>
      <c r="B83" s="31"/>
      <c r="C83" s="31"/>
      <c r="D83" s="31"/>
      <c r="E83" s="32"/>
      <c r="F83" s="48"/>
    </row>
    <row r="84" ht="26.25" customHeight="1">
      <c r="A84" s="55" t="s">
        <v>99</v>
      </c>
      <c r="B84" s="56"/>
      <c r="C84" s="56"/>
      <c r="D84" s="57">
        <v>7.8</v>
      </c>
      <c r="E84" s="58">
        <f t="shared" ref="E84:E92" si="9">B84*D84</f>
        <v>0</v>
      </c>
      <c r="F84" s="48"/>
    </row>
    <row r="85" ht="26.25" customHeight="1">
      <c r="A85" s="55" t="s">
        <v>100</v>
      </c>
      <c r="B85" s="56"/>
      <c r="C85" s="56"/>
      <c r="D85" s="57">
        <v>3.15</v>
      </c>
      <c r="E85" s="58">
        <f t="shared" si="9"/>
        <v>0</v>
      </c>
      <c r="F85" s="48"/>
    </row>
    <row r="86" ht="26.25" customHeight="1">
      <c r="A86" s="55" t="s">
        <v>101</v>
      </c>
      <c r="B86" s="56"/>
      <c r="C86" s="56"/>
      <c r="D86" s="57">
        <v>0.19</v>
      </c>
      <c r="E86" s="58">
        <f t="shared" si="9"/>
        <v>0</v>
      </c>
      <c r="F86" s="48"/>
    </row>
    <row r="87" ht="26.25" customHeight="1">
      <c r="A87" s="55" t="s">
        <v>102</v>
      </c>
      <c r="B87" s="56"/>
      <c r="C87" s="56"/>
      <c r="D87" s="57">
        <v>0.19</v>
      </c>
      <c r="E87" s="58">
        <f t="shared" si="9"/>
        <v>0</v>
      </c>
      <c r="F87" s="48"/>
    </row>
    <row r="88" ht="26.25" customHeight="1">
      <c r="A88" s="55" t="s">
        <v>103</v>
      </c>
      <c r="B88" s="56"/>
      <c r="C88" s="56"/>
      <c r="D88" s="57">
        <v>1.6</v>
      </c>
      <c r="E88" s="58">
        <f t="shared" si="9"/>
        <v>0</v>
      </c>
      <c r="F88" s="48"/>
    </row>
    <row r="89" ht="26.25" customHeight="1">
      <c r="A89" s="55" t="s">
        <v>104</v>
      </c>
      <c r="B89" s="56"/>
      <c r="C89" s="56"/>
      <c r="D89" s="57">
        <v>0.88</v>
      </c>
      <c r="E89" s="58">
        <f t="shared" si="9"/>
        <v>0</v>
      </c>
      <c r="F89" s="48"/>
    </row>
    <row r="90" ht="26.25" customHeight="1">
      <c r="A90" s="55" t="s">
        <v>105</v>
      </c>
      <c r="B90" s="56"/>
      <c r="C90" s="56"/>
      <c r="D90" s="57">
        <v>0.88</v>
      </c>
      <c r="E90" s="58">
        <f t="shared" si="9"/>
        <v>0</v>
      </c>
      <c r="F90" s="48"/>
    </row>
    <row r="91" ht="26.25" customHeight="1">
      <c r="A91" s="59" t="s">
        <v>106</v>
      </c>
      <c r="B91" s="15"/>
      <c r="C91" s="15"/>
      <c r="D91" s="60">
        <v>2.65</v>
      </c>
      <c r="E91" s="61">
        <f t="shared" si="9"/>
        <v>0</v>
      </c>
      <c r="F91" s="48"/>
    </row>
    <row r="92" ht="26.25" customHeight="1">
      <c r="A92" s="59" t="s">
        <v>107</v>
      </c>
      <c r="B92" s="15"/>
      <c r="C92" s="15"/>
      <c r="D92" s="60">
        <v>2.25</v>
      </c>
      <c r="E92" s="61">
        <f t="shared" si="9"/>
        <v>0</v>
      </c>
      <c r="F92" s="48"/>
    </row>
    <row r="93" ht="26.25" customHeight="1">
      <c r="A93" s="62" t="s">
        <v>108</v>
      </c>
      <c r="B93" s="31"/>
      <c r="C93" s="31"/>
      <c r="D93" s="31"/>
      <c r="E93" s="32"/>
      <c r="F93" s="48"/>
    </row>
    <row r="94" ht="26.25" customHeight="1">
      <c r="A94" s="55" t="s">
        <v>109</v>
      </c>
      <c r="B94" s="56"/>
      <c r="C94" s="56"/>
      <c r="D94" s="57">
        <v>3.56</v>
      </c>
      <c r="E94" s="58">
        <f t="shared" ref="E94:E96" si="10">B94*D94</f>
        <v>0</v>
      </c>
      <c r="F94" s="48"/>
    </row>
    <row r="95" ht="26.25" customHeight="1">
      <c r="A95" s="55" t="s">
        <v>110</v>
      </c>
      <c r="B95" s="56"/>
      <c r="C95" s="56"/>
      <c r="D95" s="57">
        <v>3.69</v>
      </c>
      <c r="E95" s="58">
        <f t="shared" si="10"/>
        <v>0</v>
      </c>
      <c r="F95" s="48"/>
    </row>
    <row r="96" ht="26.25" customHeight="1">
      <c r="A96" s="55" t="s">
        <v>111</v>
      </c>
      <c r="B96" s="56"/>
      <c r="C96" s="56"/>
      <c r="D96" s="57">
        <v>4.01</v>
      </c>
      <c r="E96" s="58">
        <f t="shared" si="10"/>
        <v>0</v>
      </c>
      <c r="F96" s="48"/>
    </row>
    <row r="97" ht="26.25" customHeight="1">
      <c r="A97" s="63" t="s">
        <v>56</v>
      </c>
      <c r="B97" s="31"/>
      <c r="C97" s="31"/>
      <c r="D97" s="31"/>
      <c r="E97" s="32"/>
      <c r="F97" s="48"/>
    </row>
    <row r="98" ht="26.25" customHeight="1">
      <c r="A98" s="55" t="s">
        <v>112</v>
      </c>
      <c r="B98" s="56"/>
      <c r="C98" s="56"/>
      <c r="D98" s="57">
        <v>9.19</v>
      </c>
      <c r="E98" s="58">
        <f t="shared" ref="E98:E99" si="11">B98*D98</f>
        <v>0</v>
      </c>
      <c r="F98" s="48"/>
    </row>
    <row r="99" ht="26.25" customHeight="1">
      <c r="A99" s="55" t="s">
        <v>113</v>
      </c>
      <c r="B99" s="56"/>
      <c r="C99" s="56"/>
      <c r="D99" s="57">
        <v>8.41</v>
      </c>
      <c r="E99" s="58">
        <f t="shared" si="11"/>
        <v>0</v>
      </c>
      <c r="F99" s="48"/>
    </row>
    <row r="100" ht="26.25" customHeight="1">
      <c r="A100" s="54" t="s">
        <v>64</v>
      </c>
      <c r="B100" s="31"/>
      <c r="C100" s="31"/>
      <c r="D100" s="31"/>
      <c r="E100" s="32"/>
      <c r="F100" s="48"/>
    </row>
    <row r="101" ht="26.25" customHeight="1">
      <c r="A101" s="55" t="s">
        <v>71</v>
      </c>
      <c r="B101" s="56"/>
      <c r="C101" s="56"/>
      <c r="D101" s="57">
        <v>13.5</v>
      </c>
      <c r="E101" s="58">
        <f t="shared" ref="E101:E102" si="12">B101*D101</f>
        <v>0</v>
      </c>
      <c r="F101" s="48"/>
    </row>
    <row r="102" ht="26.25" customHeight="1">
      <c r="A102" s="55" t="s">
        <v>114</v>
      </c>
      <c r="B102" s="56"/>
      <c r="C102" s="56"/>
      <c r="D102" s="57">
        <v>10.46</v>
      </c>
      <c r="E102" s="58">
        <f t="shared" si="12"/>
        <v>0</v>
      </c>
      <c r="F102" s="48"/>
    </row>
    <row r="103" ht="26.25" customHeight="1">
      <c r="A103" s="62" t="s">
        <v>115</v>
      </c>
      <c r="B103" s="31"/>
      <c r="C103" s="31"/>
      <c r="D103" s="31"/>
      <c r="E103" s="32"/>
      <c r="F103" s="48"/>
    </row>
    <row r="104" ht="26.25" customHeight="1">
      <c r="A104" s="55" t="s">
        <v>116</v>
      </c>
      <c r="B104" s="56"/>
      <c r="C104" s="56"/>
      <c r="D104" s="57">
        <v>14.67</v>
      </c>
      <c r="E104" s="58">
        <f t="shared" ref="E104:E108" si="13">B104*D104</f>
        <v>0</v>
      </c>
      <c r="F104" s="48"/>
    </row>
    <row r="105" ht="26.25" customHeight="1">
      <c r="A105" s="55" t="s">
        <v>117</v>
      </c>
      <c r="B105" s="56"/>
      <c r="C105" s="56"/>
      <c r="D105" s="57">
        <v>13.37</v>
      </c>
      <c r="E105" s="58">
        <f t="shared" si="13"/>
        <v>0</v>
      </c>
      <c r="F105" s="48"/>
    </row>
    <row r="106" ht="26.25" customHeight="1">
      <c r="A106" s="55" t="s">
        <v>118</v>
      </c>
      <c r="B106" s="56"/>
      <c r="C106" s="56"/>
      <c r="D106" s="57">
        <v>8.55</v>
      </c>
      <c r="E106" s="58">
        <f t="shared" si="13"/>
        <v>0</v>
      </c>
      <c r="F106" s="48"/>
    </row>
    <row r="107" ht="26.25" customHeight="1">
      <c r="A107" s="55" t="s">
        <v>119</v>
      </c>
      <c r="B107" s="56"/>
      <c r="C107" s="56"/>
      <c r="D107" s="57">
        <v>21.56</v>
      </c>
      <c r="E107" s="58">
        <f t="shared" si="13"/>
        <v>0</v>
      </c>
      <c r="F107" s="48"/>
    </row>
    <row r="108" ht="26.25" customHeight="1">
      <c r="A108" s="55" t="s">
        <v>120</v>
      </c>
      <c r="B108" s="56"/>
      <c r="C108" s="56"/>
      <c r="D108" s="57">
        <v>20.23</v>
      </c>
      <c r="E108" s="58">
        <f t="shared" si="13"/>
        <v>0</v>
      </c>
      <c r="F108" s="48"/>
    </row>
    <row r="109" ht="26.25" customHeight="1">
      <c r="A109" s="64" t="s">
        <v>77</v>
      </c>
      <c r="B109" s="31"/>
      <c r="C109" s="31"/>
      <c r="D109" s="31"/>
      <c r="E109" s="32"/>
      <c r="F109" s="48"/>
    </row>
    <row r="110" ht="26.25" customHeight="1">
      <c r="A110" s="55" t="s">
        <v>121</v>
      </c>
      <c r="B110" s="56"/>
      <c r="C110" s="56"/>
      <c r="D110" s="57"/>
      <c r="E110" s="58"/>
      <c r="F110" s="48"/>
    </row>
    <row r="111" ht="26.25" customHeight="1">
      <c r="A111" s="55" t="s">
        <v>122</v>
      </c>
      <c r="B111" s="56"/>
      <c r="C111" s="56"/>
      <c r="D111" s="57">
        <v>8.77</v>
      </c>
      <c r="E111" s="58">
        <f t="shared" ref="E111:E112" si="14">B111*D111</f>
        <v>0</v>
      </c>
      <c r="F111" s="48"/>
    </row>
    <row r="112" ht="26.25" customHeight="1">
      <c r="A112" s="55" t="s">
        <v>123</v>
      </c>
      <c r="B112" s="56"/>
      <c r="C112" s="56"/>
      <c r="D112" s="57">
        <v>7.1</v>
      </c>
      <c r="E112" s="58">
        <f t="shared" si="14"/>
        <v>0</v>
      </c>
      <c r="F112" s="48"/>
    </row>
    <row r="113" ht="26.25" customHeight="1">
      <c r="A113" s="63" t="s">
        <v>89</v>
      </c>
      <c r="B113" s="31"/>
      <c r="C113" s="31"/>
      <c r="D113" s="31"/>
      <c r="E113" s="32"/>
      <c r="F113" s="48"/>
    </row>
    <row r="114" ht="26.25" customHeight="1">
      <c r="A114" s="55" t="s">
        <v>124</v>
      </c>
      <c r="B114" s="56"/>
      <c r="C114" s="56"/>
      <c r="D114" s="57">
        <v>0.92</v>
      </c>
      <c r="E114" s="58">
        <f>B114*D114</f>
        <v>0</v>
      </c>
      <c r="F114" s="48"/>
    </row>
    <row r="115" ht="26.25" customHeight="1">
      <c r="A115" s="64" t="s">
        <v>92</v>
      </c>
      <c r="B115" s="31"/>
      <c r="C115" s="31"/>
      <c r="D115" s="31"/>
      <c r="E115" s="32"/>
      <c r="F115" s="48"/>
    </row>
    <row r="116" ht="26.25" customHeight="1">
      <c r="A116" s="65" t="s">
        <v>93</v>
      </c>
      <c r="B116" s="56"/>
      <c r="C116" s="56"/>
      <c r="D116" s="57">
        <v>5.1</v>
      </c>
      <c r="E116" s="58">
        <f t="shared" ref="E116:E117" si="15">B116*D116</f>
        <v>0</v>
      </c>
      <c r="F116" s="48"/>
    </row>
    <row r="117" ht="26.25" customHeight="1">
      <c r="A117" s="55" t="s">
        <v>125</v>
      </c>
      <c r="B117" s="56"/>
      <c r="C117" s="56"/>
      <c r="D117" s="57">
        <v>42.31</v>
      </c>
      <c r="E117" s="58">
        <f t="shared" si="15"/>
        <v>0</v>
      </c>
      <c r="F117" s="48"/>
    </row>
    <row r="118" ht="30.0" customHeight="1">
      <c r="A118" s="46" t="s">
        <v>95</v>
      </c>
      <c r="B118" s="31"/>
      <c r="C118" s="31"/>
      <c r="D118" s="32"/>
      <c r="E118" s="66">
        <f>SUM(E84:E117)</f>
        <v>0</v>
      </c>
      <c r="F118" s="48"/>
    </row>
    <row r="119" ht="26.25" customHeight="1">
      <c r="A119" s="49" t="s">
        <v>96</v>
      </c>
      <c r="B119" s="31"/>
      <c r="C119" s="31"/>
      <c r="D119" s="32"/>
      <c r="E119" s="50">
        <f>E118*22%</f>
        <v>0</v>
      </c>
      <c r="F119" s="48"/>
    </row>
    <row r="120" ht="33.75" customHeight="1">
      <c r="A120" s="51" t="s">
        <v>97</v>
      </c>
      <c r="B120" s="31"/>
      <c r="C120" s="31"/>
      <c r="D120" s="31"/>
      <c r="E120" s="67">
        <f>SUM(E118:E119)</f>
        <v>0</v>
      </c>
      <c r="F120" s="48"/>
    </row>
    <row r="121" ht="26.25" customHeight="1">
      <c r="F121" s="48"/>
    </row>
    <row r="122" ht="26.25" customHeight="1">
      <c r="F122" s="48"/>
    </row>
    <row r="123" ht="30.0" customHeight="1">
      <c r="A123" s="53" t="s">
        <v>126</v>
      </c>
      <c r="B123" s="31"/>
      <c r="C123" s="31"/>
      <c r="D123" s="31"/>
      <c r="E123" s="32"/>
      <c r="F123" s="48"/>
    </row>
    <row r="124" ht="26.25" customHeight="1">
      <c r="A124" s="54" t="s">
        <v>6</v>
      </c>
      <c r="B124" s="31"/>
      <c r="C124" s="31"/>
      <c r="D124" s="31"/>
      <c r="E124" s="32"/>
      <c r="F124" s="48"/>
    </row>
    <row r="125" ht="26.25" customHeight="1">
      <c r="A125" s="55" t="s">
        <v>101</v>
      </c>
      <c r="B125" s="15">
        <v>0.0</v>
      </c>
      <c r="C125" s="56"/>
      <c r="D125" s="60">
        <v>0.21</v>
      </c>
      <c r="E125" s="58">
        <f t="shared" ref="E125:E129" si="16">B125*D125</f>
        <v>0</v>
      </c>
    </row>
    <row r="126" ht="26.25" customHeight="1">
      <c r="A126" s="55" t="s">
        <v>127</v>
      </c>
      <c r="B126" s="15">
        <v>0.0</v>
      </c>
      <c r="C126" s="56"/>
      <c r="D126" s="60">
        <f>28.63/24</f>
        <v>1.192916667</v>
      </c>
      <c r="E126" s="58">
        <f t="shared" si="16"/>
        <v>0</v>
      </c>
    </row>
    <row r="127" ht="26.25" customHeight="1">
      <c r="A127" s="55" t="s">
        <v>128</v>
      </c>
      <c r="B127" s="15">
        <v>0.0</v>
      </c>
      <c r="C127" s="15"/>
      <c r="D127" s="60">
        <f>9.73/6</f>
        <v>1.621666667</v>
      </c>
      <c r="E127" s="61">
        <f t="shared" si="16"/>
        <v>0</v>
      </c>
    </row>
    <row r="128" ht="26.25" customHeight="1">
      <c r="A128" s="59" t="s">
        <v>106</v>
      </c>
      <c r="B128" s="15">
        <v>0.0</v>
      </c>
      <c r="C128" s="15"/>
      <c r="D128" s="60">
        <f>14.75/6</f>
        <v>2.458333333</v>
      </c>
      <c r="E128" s="61">
        <f t="shared" si="16"/>
        <v>0</v>
      </c>
    </row>
    <row r="129" ht="26.25" customHeight="1">
      <c r="A129" s="59" t="s">
        <v>107</v>
      </c>
      <c r="B129" s="15">
        <v>0.0</v>
      </c>
      <c r="C129" s="15"/>
      <c r="D129" s="60">
        <f>13.79/6</f>
        <v>2.298333333</v>
      </c>
      <c r="E129" s="61">
        <f t="shared" si="16"/>
        <v>0</v>
      </c>
    </row>
    <row r="130" ht="26.25" customHeight="1">
      <c r="A130" s="68" t="s">
        <v>43</v>
      </c>
      <c r="B130" s="31"/>
      <c r="C130" s="31"/>
      <c r="D130" s="31"/>
      <c r="E130" s="32"/>
    </row>
    <row r="131" ht="26.25" customHeight="1">
      <c r="A131" s="69" t="s">
        <v>44</v>
      </c>
      <c r="B131" s="15">
        <v>4.0</v>
      </c>
      <c r="C131" s="15"/>
      <c r="D131" s="60">
        <v>46.97</v>
      </c>
      <c r="E131" s="61">
        <f t="shared" ref="E131:E135" si="17">B131*D131</f>
        <v>187.88</v>
      </c>
    </row>
    <row r="132" ht="26.25" customHeight="1">
      <c r="A132" s="69" t="s">
        <v>45</v>
      </c>
      <c r="B132" s="15">
        <v>4.0</v>
      </c>
      <c r="C132" s="15"/>
      <c r="D132" s="60">
        <v>46.97</v>
      </c>
      <c r="E132" s="61">
        <f t="shared" si="17"/>
        <v>187.88</v>
      </c>
    </row>
    <row r="133" ht="26.25" customHeight="1">
      <c r="A133" s="69" t="s">
        <v>46</v>
      </c>
      <c r="B133" s="15">
        <v>3.0</v>
      </c>
      <c r="C133" s="15"/>
      <c r="D133" s="60">
        <v>46.97</v>
      </c>
      <c r="E133" s="61">
        <f t="shared" si="17"/>
        <v>140.91</v>
      </c>
    </row>
    <row r="134" ht="26.25" customHeight="1">
      <c r="A134" s="59" t="s">
        <v>47</v>
      </c>
      <c r="B134" s="15">
        <v>0.0</v>
      </c>
      <c r="C134" s="15"/>
      <c r="D134" s="60">
        <v>23.0</v>
      </c>
      <c r="E134" s="61">
        <f t="shared" si="17"/>
        <v>0</v>
      </c>
    </row>
    <row r="135" ht="26.25" customHeight="1">
      <c r="A135" s="59" t="s">
        <v>48</v>
      </c>
      <c r="B135" s="15">
        <v>0.0</v>
      </c>
      <c r="C135" s="15"/>
      <c r="D135" s="60">
        <v>42.0</v>
      </c>
      <c r="E135" s="61">
        <f t="shared" si="17"/>
        <v>0</v>
      </c>
    </row>
    <row r="136" ht="26.25" customHeight="1">
      <c r="A136" s="62" t="s">
        <v>108</v>
      </c>
      <c r="B136" s="31"/>
      <c r="C136" s="31"/>
      <c r="D136" s="31"/>
      <c r="E136" s="32"/>
    </row>
    <row r="137" ht="26.25" customHeight="1">
      <c r="A137" s="55" t="s">
        <v>129</v>
      </c>
      <c r="B137" s="56">
        <v>0.0</v>
      </c>
      <c r="C137" s="56"/>
      <c r="D137" s="57">
        <v>2.88</v>
      </c>
      <c r="E137" s="58">
        <f>B137*D137</f>
        <v>0</v>
      </c>
    </row>
    <row r="138" ht="26.25" customHeight="1">
      <c r="A138" s="63" t="s">
        <v>56</v>
      </c>
      <c r="B138" s="31"/>
      <c r="C138" s="31"/>
      <c r="D138" s="31"/>
      <c r="E138" s="32"/>
    </row>
    <row r="139" ht="26.25" customHeight="1">
      <c r="A139" s="59" t="s">
        <v>57</v>
      </c>
      <c r="B139" s="15">
        <v>0.0</v>
      </c>
      <c r="C139" s="15"/>
      <c r="D139" s="60">
        <v>11.3</v>
      </c>
      <c r="E139" s="58">
        <f t="shared" ref="E139:E142" si="18">B139*D139</f>
        <v>0</v>
      </c>
    </row>
    <row r="140" ht="26.25" customHeight="1">
      <c r="A140" s="26" t="s">
        <v>130</v>
      </c>
      <c r="B140" s="15">
        <v>36.0</v>
      </c>
      <c r="C140" s="15">
        <v>6.0</v>
      </c>
      <c r="D140" s="60">
        <v>12.0</v>
      </c>
      <c r="E140" s="58">
        <f t="shared" si="18"/>
        <v>432</v>
      </c>
    </row>
    <row r="141" ht="26.25" customHeight="1">
      <c r="A141" s="26" t="s">
        <v>63</v>
      </c>
      <c r="B141" s="27">
        <v>0.0</v>
      </c>
      <c r="C141" s="28"/>
      <c r="D141" s="12">
        <v>34.2</v>
      </c>
      <c r="E141" s="58">
        <f t="shared" si="18"/>
        <v>0</v>
      </c>
    </row>
    <row r="142" ht="26.25" customHeight="1">
      <c r="A142" s="26" t="s">
        <v>131</v>
      </c>
      <c r="B142" s="27">
        <v>0.0</v>
      </c>
      <c r="C142" s="28"/>
      <c r="D142" s="12">
        <v>87.4</v>
      </c>
      <c r="E142" s="58">
        <f t="shared" si="18"/>
        <v>0</v>
      </c>
    </row>
    <row r="143" ht="26.25" customHeight="1">
      <c r="A143" s="54" t="s">
        <v>64</v>
      </c>
      <c r="B143" s="31"/>
      <c r="C143" s="31"/>
      <c r="D143" s="31"/>
      <c r="E143" s="32"/>
    </row>
    <row r="144" ht="26.25" customHeight="1">
      <c r="A144" s="70" t="s">
        <v>132</v>
      </c>
      <c r="B144" s="28">
        <v>18.0</v>
      </c>
      <c r="C144" s="28"/>
      <c r="D144" s="12">
        <v>12.66</v>
      </c>
      <c r="E144" s="61">
        <f t="shared" ref="E144:E151" si="19">B144*D144</f>
        <v>227.88</v>
      </c>
    </row>
    <row r="145" ht="26.25" customHeight="1">
      <c r="A145" s="70" t="s">
        <v>71</v>
      </c>
      <c r="B145" s="28">
        <v>36.0</v>
      </c>
      <c r="C145" s="28"/>
      <c r="D145" s="12">
        <v>14.0</v>
      </c>
      <c r="E145" s="61">
        <f t="shared" si="19"/>
        <v>504</v>
      </c>
    </row>
    <row r="146" ht="26.25" customHeight="1">
      <c r="A146" s="70" t="s">
        <v>133</v>
      </c>
      <c r="B146" s="27">
        <v>0.0</v>
      </c>
      <c r="C146" s="28"/>
      <c r="D146" s="12">
        <v>23.5</v>
      </c>
      <c r="E146" s="61">
        <f t="shared" si="19"/>
        <v>0</v>
      </c>
    </row>
    <row r="147" ht="26.25" customHeight="1">
      <c r="A147" s="70" t="s">
        <v>134</v>
      </c>
      <c r="B147" s="27">
        <v>0.0</v>
      </c>
      <c r="C147" s="28"/>
      <c r="D147" s="12">
        <v>34.7</v>
      </c>
      <c r="E147" s="61">
        <f t="shared" si="19"/>
        <v>0</v>
      </c>
    </row>
    <row r="148" ht="26.25" customHeight="1">
      <c r="A148" s="70" t="s">
        <v>135</v>
      </c>
      <c r="B148" s="27">
        <v>0.0</v>
      </c>
      <c r="C148" s="71"/>
      <c r="D148" s="12">
        <v>37.7</v>
      </c>
      <c r="E148" s="61">
        <f t="shared" si="19"/>
        <v>0</v>
      </c>
    </row>
    <row r="149" ht="26.25" customHeight="1">
      <c r="A149" s="26" t="s">
        <v>73</v>
      </c>
      <c r="B149" s="27">
        <v>0.0</v>
      </c>
      <c r="C149" s="71"/>
      <c r="D149" s="12">
        <v>22.8</v>
      </c>
      <c r="E149" s="61">
        <f t="shared" si="19"/>
        <v>0</v>
      </c>
    </row>
    <row r="150" ht="26.25" customHeight="1">
      <c r="A150" s="26" t="s">
        <v>76</v>
      </c>
      <c r="B150" s="28">
        <v>12.0</v>
      </c>
      <c r="C150" s="71"/>
      <c r="D150" s="12">
        <v>27.75</v>
      </c>
      <c r="E150" s="61">
        <f t="shared" si="19"/>
        <v>333</v>
      </c>
    </row>
    <row r="151" ht="26.25" customHeight="1">
      <c r="A151" s="26" t="s">
        <v>86</v>
      </c>
      <c r="B151" s="27">
        <v>0.0</v>
      </c>
      <c r="C151" s="71"/>
      <c r="D151" s="12">
        <v>16.66</v>
      </c>
      <c r="E151" s="61">
        <f t="shared" si="19"/>
        <v>0</v>
      </c>
    </row>
    <row r="152" ht="26.25" customHeight="1">
      <c r="A152" s="46" t="s">
        <v>95</v>
      </c>
      <c r="B152" s="31"/>
      <c r="C152" s="31"/>
      <c r="D152" s="32"/>
      <c r="E152" s="66">
        <f>SUM(E125:E151)</f>
        <v>2013.55</v>
      </c>
    </row>
    <row r="153" ht="26.25" customHeight="1">
      <c r="A153" s="49" t="s">
        <v>96</v>
      </c>
      <c r="B153" s="31"/>
      <c r="C153" s="31"/>
      <c r="D153" s="32"/>
      <c r="E153" s="50">
        <f>E152*22%</f>
        <v>442.981</v>
      </c>
    </row>
    <row r="154" ht="33.75" customHeight="1">
      <c r="A154" s="51" t="s">
        <v>97</v>
      </c>
      <c r="B154" s="31"/>
      <c r="C154" s="31"/>
      <c r="D154" s="31"/>
      <c r="E154" s="67">
        <f>SUM(E152:E153)</f>
        <v>2456.531</v>
      </c>
    </row>
    <row r="155" ht="26.25" customHeight="1"/>
    <row r="156" ht="26.25" customHeight="1"/>
    <row r="157" ht="30.0" customHeight="1">
      <c r="A157" s="72" t="s">
        <v>136</v>
      </c>
      <c r="F157" s="48"/>
    </row>
    <row r="158" ht="30.0" customHeight="1">
      <c r="A158" s="35" t="s">
        <v>56</v>
      </c>
      <c r="B158" s="2"/>
      <c r="C158" s="2"/>
      <c r="D158" s="2"/>
      <c r="E158" s="3"/>
      <c r="F158" s="48"/>
    </row>
    <row r="159" ht="30.0" customHeight="1">
      <c r="A159" s="70" t="s">
        <v>137</v>
      </c>
      <c r="B159" s="27">
        <v>0.0</v>
      </c>
      <c r="C159" s="28"/>
      <c r="D159" s="12">
        <v>10.77</v>
      </c>
      <c r="E159" s="61">
        <f t="shared" ref="E159:E162" si="20">B159*D159</f>
        <v>0</v>
      </c>
      <c r="F159" s="48"/>
    </row>
    <row r="160" ht="30.0" customHeight="1">
      <c r="A160" s="73" t="s">
        <v>138</v>
      </c>
      <c r="B160" s="74">
        <v>6.0</v>
      </c>
      <c r="C160" s="75"/>
      <c r="D160" s="12">
        <v>30.94</v>
      </c>
      <c r="E160" s="61">
        <f t="shared" si="20"/>
        <v>185.64</v>
      </c>
      <c r="F160" s="48"/>
    </row>
    <row r="161" ht="30.0" customHeight="1">
      <c r="A161" s="76" t="s">
        <v>139</v>
      </c>
      <c r="B161" s="74">
        <v>3.0</v>
      </c>
      <c r="C161" s="74"/>
      <c r="D161" s="12">
        <v>65.5</v>
      </c>
      <c r="E161" s="61">
        <f t="shared" si="20"/>
        <v>196.5</v>
      </c>
      <c r="F161" s="48"/>
    </row>
    <row r="162" ht="30.0" customHeight="1">
      <c r="A162" s="77" t="s">
        <v>140</v>
      </c>
      <c r="B162" s="78">
        <v>0.0</v>
      </c>
      <c r="C162" s="74"/>
      <c r="D162" s="79">
        <v>134.0</v>
      </c>
      <c r="E162" s="61">
        <f t="shared" si="20"/>
        <v>0</v>
      </c>
      <c r="F162" s="48"/>
    </row>
    <row r="163" ht="30.0" customHeight="1">
      <c r="A163" s="38" t="s">
        <v>64</v>
      </c>
      <c r="E163" s="39"/>
      <c r="F163" s="48"/>
    </row>
    <row r="164" ht="30.0" customHeight="1">
      <c r="A164" s="26" t="s">
        <v>141</v>
      </c>
      <c r="B164" s="27">
        <v>0.0</v>
      </c>
      <c r="C164" s="28"/>
      <c r="D164" s="12">
        <v>9.29</v>
      </c>
      <c r="E164" s="61">
        <f>B164*D164</f>
        <v>0</v>
      </c>
      <c r="F164" s="48"/>
    </row>
    <row r="165" ht="30.0" customHeight="1">
      <c r="A165" s="54" t="s">
        <v>115</v>
      </c>
      <c r="B165" s="31"/>
      <c r="C165" s="31"/>
      <c r="D165" s="31"/>
      <c r="E165" s="32"/>
      <c r="F165" s="48"/>
    </row>
    <row r="166" ht="30.0" customHeight="1">
      <c r="A166" s="26" t="s">
        <v>142</v>
      </c>
      <c r="B166" s="28">
        <v>12.0</v>
      </c>
      <c r="C166" s="28"/>
      <c r="D166" s="12">
        <v>10.7</v>
      </c>
      <c r="E166" s="61">
        <f t="shared" ref="E166:E168" si="21">B166*D166</f>
        <v>128.4</v>
      </c>
      <c r="F166" s="48"/>
    </row>
    <row r="167" ht="30.0" customHeight="1">
      <c r="A167" s="26" t="s">
        <v>86</v>
      </c>
      <c r="B167" s="27">
        <v>12.0</v>
      </c>
      <c r="C167" s="28"/>
      <c r="D167" s="12">
        <v>14.96</v>
      </c>
      <c r="E167" s="61">
        <f t="shared" si="21"/>
        <v>179.52</v>
      </c>
      <c r="F167" s="48"/>
    </row>
    <row r="168" ht="30.0" customHeight="1">
      <c r="A168" s="26" t="s">
        <v>119</v>
      </c>
      <c r="B168" s="27">
        <v>0.0</v>
      </c>
      <c r="C168" s="28"/>
      <c r="D168" s="12">
        <v>15.64</v>
      </c>
      <c r="E168" s="61">
        <f t="shared" si="21"/>
        <v>0</v>
      </c>
      <c r="F168" s="48"/>
    </row>
    <row r="169" ht="30.0" customHeight="1">
      <c r="A169" s="68" t="s">
        <v>77</v>
      </c>
      <c r="B169" s="31"/>
      <c r="C169" s="31"/>
      <c r="D169" s="31"/>
      <c r="E169" s="32"/>
      <c r="F169" s="48"/>
    </row>
    <row r="170" ht="30.0" customHeight="1">
      <c r="A170" s="26" t="s">
        <v>143</v>
      </c>
      <c r="B170" s="27">
        <v>0.0</v>
      </c>
      <c r="C170" s="28"/>
      <c r="D170" s="12">
        <v>16.06</v>
      </c>
      <c r="E170" s="61">
        <f t="shared" ref="E170:E174" si="22">B170*D170</f>
        <v>0</v>
      </c>
      <c r="F170" s="48"/>
    </row>
    <row r="171" ht="30.0" customHeight="1">
      <c r="A171" s="26" t="s">
        <v>144</v>
      </c>
      <c r="B171" s="28">
        <v>6.0</v>
      </c>
      <c r="C171" s="28"/>
      <c r="D171" s="12">
        <v>10.08</v>
      </c>
      <c r="E171" s="61">
        <f t="shared" si="22"/>
        <v>60.48</v>
      </c>
      <c r="F171" s="48"/>
    </row>
    <row r="172" ht="30.0" customHeight="1">
      <c r="A172" s="26" t="s">
        <v>145</v>
      </c>
      <c r="B172" s="27">
        <v>0.0</v>
      </c>
      <c r="C172" s="28"/>
      <c r="D172" s="12">
        <v>18.5</v>
      </c>
      <c r="E172" s="61">
        <f t="shared" si="22"/>
        <v>0</v>
      </c>
      <c r="F172" s="48"/>
    </row>
    <row r="173" ht="30.0" customHeight="1">
      <c r="A173" s="26" t="s">
        <v>146</v>
      </c>
      <c r="B173" s="27">
        <v>0.0</v>
      </c>
      <c r="C173" s="28"/>
      <c r="D173" s="12">
        <v>10.95</v>
      </c>
      <c r="E173" s="61">
        <f t="shared" si="22"/>
        <v>0</v>
      </c>
      <c r="F173" s="48"/>
    </row>
    <row r="174" ht="30.0" customHeight="1">
      <c r="A174" s="26" t="s">
        <v>147</v>
      </c>
      <c r="B174" s="27">
        <v>0.0</v>
      </c>
      <c r="C174" s="28"/>
      <c r="D174" s="12">
        <v>13.31</v>
      </c>
      <c r="E174" s="61">
        <f t="shared" si="22"/>
        <v>0</v>
      </c>
      <c r="F174" s="48"/>
    </row>
    <row r="175" ht="30.0" customHeight="1">
      <c r="A175" s="46" t="s">
        <v>95</v>
      </c>
      <c r="B175" s="31"/>
      <c r="C175" s="31"/>
      <c r="D175" s="32"/>
      <c r="E175" s="66">
        <f>SUM(E159:E174)</f>
        <v>750.54</v>
      </c>
      <c r="F175" s="48"/>
    </row>
    <row r="176" ht="30.0" customHeight="1">
      <c r="A176" s="49" t="s">
        <v>96</v>
      </c>
      <c r="B176" s="31"/>
      <c r="C176" s="31"/>
      <c r="D176" s="32"/>
      <c r="E176" s="50">
        <f>E175*22%</f>
        <v>165.1188</v>
      </c>
      <c r="F176" s="48"/>
    </row>
    <row r="177" ht="30.0" customHeight="1">
      <c r="A177" s="51" t="s">
        <v>97</v>
      </c>
      <c r="B177" s="31"/>
      <c r="C177" s="31"/>
      <c r="D177" s="31"/>
      <c r="E177" s="67">
        <f>SUM(E175:E176)</f>
        <v>915.6588</v>
      </c>
      <c r="F177" s="48"/>
    </row>
    <row r="178" ht="26.25" customHeight="1">
      <c r="A178" s="80"/>
      <c r="F178" s="48"/>
    </row>
    <row r="179" ht="26.25" customHeight="1">
      <c r="F179" s="48"/>
    </row>
    <row r="180" ht="30.0" customHeight="1">
      <c r="A180" s="53" t="s">
        <v>148</v>
      </c>
      <c r="B180" s="31"/>
      <c r="C180" s="31"/>
      <c r="D180" s="31"/>
      <c r="E180" s="32"/>
      <c r="F180" s="48"/>
    </row>
    <row r="181" ht="26.25" customHeight="1">
      <c r="A181" s="81" t="s">
        <v>149</v>
      </c>
      <c r="B181" s="31"/>
      <c r="C181" s="31"/>
      <c r="D181" s="31"/>
      <c r="E181" s="32"/>
      <c r="F181" s="48"/>
    </row>
    <row r="182" ht="26.25" customHeight="1">
      <c r="A182" s="59" t="s">
        <v>86</v>
      </c>
      <c r="B182" s="56"/>
      <c r="C182" s="56"/>
      <c r="D182" s="82">
        <v>16.0</v>
      </c>
      <c r="E182" s="58">
        <f t="shared" ref="E182:E190" si="23">B182*D182</f>
        <v>0</v>
      </c>
    </row>
    <row r="183" ht="26.25" customHeight="1">
      <c r="A183" s="55" t="s">
        <v>150</v>
      </c>
      <c r="B183" s="56"/>
      <c r="C183" s="56"/>
      <c r="D183" s="82">
        <v>13.0</v>
      </c>
      <c r="E183" s="58">
        <f t="shared" si="23"/>
        <v>0</v>
      </c>
    </row>
    <row r="184" ht="26.25" customHeight="1">
      <c r="A184" s="55" t="s">
        <v>151</v>
      </c>
      <c r="B184" s="15"/>
      <c r="C184" s="15"/>
      <c r="D184" s="82">
        <v>21.0</v>
      </c>
      <c r="E184" s="58">
        <f t="shared" si="23"/>
        <v>0</v>
      </c>
    </row>
    <row r="185" ht="26.25" customHeight="1">
      <c r="A185" s="55" t="s">
        <v>152</v>
      </c>
      <c r="B185" s="15"/>
      <c r="C185" s="15"/>
      <c r="D185" s="82">
        <v>9.0</v>
      </c>
      <c r="E185" s="61">
        <f t="shared" si="23"/>
        <v>0</v>
      </c>
    </row>
    <row r="186" ht="26.25" customHeight="1">
      <c r="A186" s="55" t="s">
        <v>153</v>
      </c>
      <c r="B186" s="15"/>
      <c r="C186" s="15"/>
      <c r="D186" s="82">
        <v>1.0</v>
      </c>
      <c r="E186" s="61">
        <f t="shared" si="23"/>
        <v>0</v>
      </c>
    </row>
    <row r="187" ht="26.25" customHeight="1">
      <c r="A187" s="55" t="s">
        <v>154</v>
      </c>
      <c r="B187" s="15"/>
      <c r="C187" s="15"/>
      <c r="D187" s="82">
        <v>1.0</v>
      </c>
      <c r="E187" s="61">
        <f t="shared" si="23"/>
        <v>0</v>
      </c>
    </row>
    <row r="188" ht="26.25" customHeight="1">
      <c r="A188" s="55" t="s">
        <v>155</v>
      </c>
      <c r="B188" s="15"/>
      <c r="C188" s="15"/>
      <c r="D188" s="82">
        <v>1.0</v>
      </c>
      <c r="E188" s="61">
        <f t="shared" si="23"/>
        <v>0</v>
      </c>
    </row>
    <row r="189" ht="26.25" customHeight="1">
      <c r="A189" s="55" t="s">
        <v>156</v>
      </c>
      <c r="B189" s="15"/>
      <c r="C189" s="15"/>
      <c r="D189" s="82">
        <v>2.0</v>
      </c>
      <c r="E189" s="61">
        <f t="shared" si="23"/>
        <v>0</v>
      </c>
    </row>
    <row r="190" ht="26.25" customHeight="1">
      <c r="A190" s="55" t="s">
        <v>157</v>
      </c>
      <c r="B190" s="15"/>
      <c r="C190" s="15"/>
      <c r="D190" s="82">
        <v>9.0</v>
      </c>
      <c r="E190" s="61">
        <f t="shared" si="23"/>
        <v>0</v>
      </c>
    </row>
    <row r="191" ht="26.25" customHeight="1">
      <c r="A191" s="46" t="s">
        <v>95</v>
      </c>
      <c r="B191" s="31"/>
      <c r="C191" s="31"/>
      <c r="D191" s="32"/>
      <c r="E191" s="66">
        <f>SUM(E182:E190)</f>
        <v>0</v>
      </c>
    </row>
    <row r="192" ht="26.25" customHeight="1">
      <c r="A192" s="49" t="s">
        <v>96</v>
      </c>
      <c r="B192" s="31"/>
      <c r="C192" s="31"/>
      <c r="D192" s="32"/>
      <c r="E192" s="50">
        <f>E191*22%</f>
        <v>0</v>
      </c>
    </row>
    <row r="193" ht="33.75" customHeight="1">
      <c r="A193" s="51" t="s">
        <v>97</v>
      </c>
      <c r="B193" s="31"/>
      <c r="C193" s="31"/>
      <c r="D193" s="31"/>
      <c r="E193" s="67">
        <f>SUM(E191:E192)</f>
        <v>0</v>
      </c>
    </row>
    <row r="196" ht="33.75" customHeight="1">
      <c r="A196" s="83" t="s">
        <v>158</v>
      </c>
      <c r="B196" s="31"/>
      <c r="C196" s="31"/>
      <c r="D196" s="31"/>
      <c r="E196" s="67">
        <f>E79+E120+E154+E177+E193</f>
        <v>6826.8028</v>
      </c>
    </row>
  </sheetData>
  <mergeCells count="51">
    <mergeCell ref="A1:E1"/>
    <mergeCell ref="A3:E3"/>
    <mergeCell ref="A26:E26"/>
    <mergeCell ref="A32:E32"/>
    <mergeCell ref="A39:E39"/>
    <mergeCell ref="A46:E46"/>
    <mergeCell ref="A59:E59"/>
    <mergeCell ref="A71:E71"/>
    <mergeCell ref="A74:E74"/>
    <mergeCell ref="A77:D77"/>
    <mergeCell ref="A78:D78"/>
    <mergeCell ref="A79:D79"/>
    <mergeCell ref="A80:E81"/>
    <mergeCell ref="A82:E82"/>
    <mergeCell ref="A83:E83"/>
    <mergeCell ref="A93:E93"/>
    <mergeCell ref="A97:E97"/>
    <mergeCell ref="A100:E100"/>
    <mergeCell ref="A103:E103"/>
    <mergeCell ref="A109:E109"/>
    <mergeCell ref="A113:E113"/>
    <mergeCell ref="A115:E115"/>
    <mergeCell ref="A118:D118"/>
    <mergeCell ref="A119:D119"/>
    <mergeCell ref="A120:D120"/>
    <mergeCell ref="A121:E122"/>
    <mergeCell ref="A123:E123"/>
    <mergeCell ref="A124:E124"/>
    <mergeCell ref="A130:E130"/>
    <mergeCell ref="A136:E136"/>
    <mergeCell ref="A138:E138"/>
    <mergeCell ref="A143:E143"/>
    <mergeCell ref="A152:D152"/>
    <mergeCell ref="A153:D153"/>
    <mergeCell ref="A154:D154"/>
    <mergeCell ref="A155:E156"/>
    <mergeCell ref="A157:E157"/>
    <mergeCell ref="A158:E158"/>
    <mergeCell ref="A163:E163"/>
    <mergeCell ref="A165:E165"/>
    <mergeCell ref="A169:E169"/>
    <mergeCell ref="A175:D175"/>
    <mergeCell ref="A193:D193"/>
    <mergeCell ref="A196:D196"/>
    <mergeCell ref="A176:D176"/>
    <mergeCell ref="A177:D177"/>
    <mergeCell ref="A178:E179"/>
    <mergeCell ref="A180:E180"/>
    <mergeCell ref="A181:E181"/>
    <mergeCell ref="A191:D191"/>
    <mergeCell ref="A192:D19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0.13"/>
    <col customWidth="1" min="2" max="3" width="22.13"/>
    <col customWidth="1" min="4" max="4" width="18.88"/>
    <col customWidth="1" min="5" max="5" width="16.38"/>
  </cols>
  <sheetData>
    <row r="1" ht="30.0" customHeight="1">
      <c r="A1" s="1" t="s">
        <v>0</v>
      </c>
      <c r="B1" s="2"/>
      <c r="C1" s="2"/>
      <c r="D1" s="2"/>
      <c r="E1" s="3"/>
    </row>
    <row r="2" ht="30.0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ht="26.25" customHeight="1">
      <c r="A3" s="6" t="s">
        <v>6</v>
      </c>
      <c r="B3" s="7"/>
      <c r="C3" s="7"/>
      <c r="D3" s="7"/>
      <c r="E3" s="8"/>
    </row>
    <row r="4" ht="26.25" customHeight="1">
      <c r="A4" s="9" t="s">
        <v>7</v>
      </c>
      <c r="B4" s="84" t="s">
        <v>8</v>
      </c>
      <c r="C4" s="11"/>
      <c r="D4" s="12">
        <v>12.8</v>
      </c>
      <c r="E4" s="13">
        <f t="shared" ref="E4:E25" si="1">B4*D4</f>
        <v>25.6</v>
      </c>
    </row>
    <row r="5" ht="26.25" customHeight="1">
      <c r="A5" s="9" t="s">
        <v>9</v>
      </c>
      <c r="B5" s="84" t="s">
        <v>10</v>
      </c>
      <c r="C5" s="11"/>
      <c r="D5" s="12">
        <v>11.7</v>
      </c>
      <c r="E5" s="13">
        <f t="shared" si="1"/>
        <v>11.7</v>
      </c>
    </row>
    <row r="6" ht="26.25" customHeight="1">
      <c r="A6" s="9" t="s">
        <v>11</v>
      </c>
      <c r="B6" s="84" t="s">
        <v>10</v>
      </c>
      <c r="C6" s="11"/>
      <c r="D6" s="12">
        <v>8.64</v>
      </c>
      <c r="E6" s="13">
        <f t="shared" si="1"/>
        <v>8.64</v>
      </c>
    </row>
    <row r="7" ht="26.25" customHeight="1">
      <c r="A7" s="9" t="s">
        <v>12</v>
      </c>
      <c r="B7" s="84" t="s">
        <v>8</v>
      </c>
      <c r="C7" s="11"/>
      <c r="D7" s="12">
        <v>6.21</v>
      </c>
      <c r="E7" s="13">
        <f t="shared" si="1"/>
        <v>12.42</v>
      </c>
    </row>
    <row r="8" ht="26.25" customHeight="1">
      <c r="A8" s="9" t="s">
        <v>14</v>
      </c>
      <c r="B8" s="14"/>
      <c r="C8" s="11"/>
      <c r="D8" s="12">
        <v>4.41</v>
      </c>
      <c r="E8" s="13">
        <f t="shared" si="1"/>
        <v>0</v>
      </c>
    </row>
    <row r="9" ht="26.25" customHeight="1">
      <c r="A9" s="9" t="s">
        <v>16</v>
      </c>
      <c r="B9" s="10"/>
      <c r="C9" s="14"/>
      <c r="D9" s="12">
        <v>0.18</v>
      </c>
      <c r="E9" s="13">
        <f t="shared" si="1"/>
        <v>0</v>
      </c>
    </row>
    <row r="10" ht="26.25" customHeight="1">
      <c r="A10" s="9" t="s">
        <v>19</v>
      </c>
      <c r="B10" s="10"/>
      <c r="C10" s="14"/>
      <c r="D10" s="12">
        <v>0.18</v>
      </c>
      <c r="E10" s="13">
        <f t="shared" si="1"/>
        <v>0</v>
      </c>
    </row>
    <row r="11" ht="26.25" customHeight="1">
      <c r="A11" s="9" t="s">
        <v>21</v>
      </c>
      <c r="B11" s="84" t="s">
        <v>28</v>
      </c>
      <c r="C11" s="14" t="s">
        <v>29</v>
      </c>
      <c r="D11" s="12">
        <v>1.05</v>
      </c>
      <c r="E11" s="13">
        <f t="shared" si="1"/>
        <v>252</v>
      </c>
    </row>
    <row r="12" ht="26.25" customHeight="1">
      <c r="A12" s="9" t="s">
        <v>22</v>
      </c>
      <c r="B12" s="84" t="s">
        <v>20</v>
      </c>
      <c r="C12" s="14" t="s">
        <v>8</v>
      </c>
      <c r="D12" s="12">
        <v>1.18</v>
      </c>
      <c r="E12" s="13">
        <f t="shared" si="1"/>
        <v>56.64</v>
      </c>
    </row>
    <row r="13" ht="26.25" customHeight="1">
      <c r="A13" s="9" t="s">
        <v>23</v>
      </c>
      <c r="B13" s="10"/>
      <c r="C13" s="14"/>
      <c r="D13" s="12">
        <v>1.18</v>
      </c>
      <c r="E13" s="13">
        <f t="shared" si="1"/>
        <v>0</v>
      </c>
    </row>
    <row r="14" ht="26.25" customHeight="1">
      <c r="A14" s="9" t="s">
        <v>24</v>
      </c>
      <c r="B14" s="84" t="s">
        <v>159</v>
      </c>
      <c r="C14" s="14" t="s">
        <v>42</v>
      </c>
      <c r="D14" s="12">
        <v>0.98</v>
      </c>
      <c r="E14" s="13">
        <f t="shared" si="1"/>
        <v>94.08</v>
      </c>
    </row>
    <row r="15" ht="26.25" customHeight="1">
      <c r="A15" s="9" t="s">
        <v>27</v>
      </c>
      <c r="B15" s="84" t="s">
        <v>159</v>
      </c>
      <c r="C15" s="14" t="s">
        <v>42</v>
      </c>
      <c r="D15" s="12">
        <v>0.98</v>
      </c>
      <c r="E15" s="13">
        <f t="shared" si="1"/>
        <v>94.08</v>
      </c>
    </row>
    <row r="16" ht="26.25" customHeight="1">
      <c r="A16" s="9" t="s">
        <v>30</v>
      </c>
      <c r="B16" s="15"/>
      <c r="C16" s="16"/>
      <c r="D16" s="12">
        <v>0.81</v>
      </c>
      <c r="E16" s="13">
        <f t="shared" si="1"/>
        <v>0</v>
      </c>
    </row>
    <row r="17" ht="26.25" customHeight="1">
      <c r="A17" s="9" t="s">
        <v>31</v>
      </c>
      <c r="B17" s="15"/>
      <c r="C17" s="16"/>
      <c r="D17" s="12">
        <v>0.81</v>
      </c>
      <c r="E17" s="13">
        <f t="shared" si="1"/>
        <v>0</v>
      </c>
    </row>
    <row r="18" ht="26.25" customHeight="1">
      <c r="A18" s="9" t="s">
        <v>32</v>
      </c>
      <c r="B18" s="14"/>
      <c r="C18" s="11"/>
      <c r="D18" s="12">
        <v>1.78</v>
      </c>
      <c r="E18" s="13">
        <f t="shared" si="1"/>
        <v>0</v>
      </c>
    </row>
    <row r="19" ht="26.25" customHeight="1">
      <c r="A19" s="9" t="s">
        <v>33</v>
      </c>
      <c r="B19" s="15">
        <v>48.0</v>
      </c>
      <c r="C19" s="15">
        <v>2.0</v>
      </c>
      <c r="D19" s="12">
        <v>0.68</v>
      </c>
      <c r="E19" s="13">
        <f t="shared" si="1"/>
        <v>32.64</v>
      </c>
    </row>
    <row r="20" ht="26.25" customHeight="1">
      <c r="A20" s="9" t="s">
        <v>34</v>
      </c>
      <c r="B20" s="15"/>
      <c r="C20" s="16"/>
      <c r="D20" s="12">
        <v>0.68</v>
      </c>
      <c r="E20" s="13">
        <f t="shared" si="1"/>
        <v>0</v>
      </c>
    </row>
    <row r="21" ht="26.25" customHeight="1">
      <c r="A21" s="9" t="s">
        <v>35</v>
      </c>
      <c r="B21" s="15"/>
      <c r="C21" s="16"/>
      <c r="D21" s="12">
        <v>0.58</v>
      </c>
      <c r="E21" s="13">
        <f t="shared" si="1"/>
        <v>0</v>
      </c>
    </row>
    <row r="22" ht="26.25" customHeight="1">
      <c r="A22" s="9" t="s">
        <v>36</v>
      </c>
      <c r="B22" s="14"/>
      <c r="C22" s="11"/>
      <c r="D22" s="12">
        <v>1.17</v>
      </c>
      <c r="E22" s="13">
        <f t="shared" si="1"/>
        <v>0</v>
      </c>
    </row>
    <row r="23" ht="26.25" customHeight="1">
      <c r="A23" s="9" t="s">
        <v>37</v>
      </c>
      <c r="B23" s="14"/>
      <c r="C23" s="11"/>
      <c r="D23" s="12">
        <v>1.17</v>
      </c>
      <c r="E23" s="13">
        <f t="shared" si="1"/>
        <v>0</v>
      </c>
    </row>
    <row r="24" ht="26.25" customHeight="1">
      <c r="A24" s="9" t="s">
        <v>38</v>
      </c>
      <c r="B24" s="10"/>
      <c r="C24" s="14"/>
      <c r="D24" s="12">
        <v>2.13</v>
      </c>
      <c r="E24" s="13">
        <f t="shared" si="1"/>
        <v>0</v>
      </c>
    </row>
    <row r="25" ht="26.25" customHeight="1">
      <c r="A25" s="17" t="s">
        <v>40</v>
      </c>
      <c r="B25" s="37" t="s">
        <v>26</v>
      </c>
      <c r="C25" s="19" t="s">
        <v>10</v>
      </c>
      <c r="D25" s="12">
        <v>1.9</v>
      </c>
      <c r="E25" s="13">
        <f t="shared" si="1"/>
        <v>11.4</v>
      </c>
    </row>
    <row r="26" ht="26.25" customHeight="1">
      <c r="A26" s="20" t="s">
        <v>43</v>
      </c>
      <c r="B26" s="21"/>
      <c r="C26" s="21"/>
      <c r="D26" s="21"/>
      <c r="E26" s="22"/>
    </row>
    <row r="27" ht="26.25" customHeight="1">
      <c r="A27" s="23" t="s">
        <v>44</v>
      </c>
      <c r="B27" s="14"/>
      <c r="C27" s="11"/>
      <c r="D27" s="12">
        <v>60.5</v>
      </c>
      <c r="E27" s="12">
        <f t="shared" ref="E27:E31" si="2">B27*D27</f>
        <v>0</v>
      </c>
    </row>
    <row r="28" ht="26.25" customHeight="1">
      <c r="A28" s="23" t="s">
        <v>45</v>
      </c>
      <c r="B28" s="14"/>
      <c r="C28" s="11"/>
      <c r="D28" s="12">
        <v>60.5</v>
      </c>
      <c r="E28" s="12">
        <f t="shared" si="2"/>
        <v>0</v>
      </c>
    </row>
    <row r="29" ht="26.25" customHeight="1">
      <c r="A29" s="23" t="s">
        <v>46</v>
      </c>
      <c r="B29" s="19"/>
      <c r="C29" s="24"/>
      <c r="D29" s="25">
        <v>60.5</v>
      </c>
      <c r="E29" s="12">
        <f t="shared" si="2"/>
        <v>0</v>
      </c>
    </row>
    <row r="30" ht="26.25" customHeight="1">
      <c r="A30" s="26" t="s">
        <v>47</v>
      </c>
      <c r="B30" s="27"/>
      <c r="C30" s="28"/>
      <c r="D30" s="12">
        <v>17.1</v>
      </c>
      <c r="E30" s="12">
        <f t="shared" si="2"/>
        <v>0</v>
      </c>
    </row>
    <row r="31" ht="26.25" customHeight="1">
      <c r="A31" s="29" t="s">
        <v>48</v>
      </c>
      <c r="B31" s="28"/>
      <c r="C31" s="28"/>
      <c r="D31" s="12">
        <v>26.55</v>
      </c>
      <c r="E31" s="12">
        <f t="shared" si="2"/>
        <v>0</v>
      </c>
    </row>
    <row r="32" ht="26.25" customHeight="1">
      <c r="A32" s="30" t="s">
        <v>49</v>
      </c>
      <c r="B32" s="31"/>
      <c r="C32" s="31"/>
      <c r="D32" s="31"/>
      <c r="E32" s="32"/>
    </row>
    <row r="33" ht="26.25" customHeight="1">
      <c r="A33" s="26" t="s">
        <v>50</v>
      </c>
      <c r="B33" s="33"/>
      <c r="C33" s="34"/>
      <c r="D33" s="12">
        <v>3.5</v>
      </c>
      <c r="E33" s="12">
        <f t="shared" ref="E33:E38" si="3">B33*D33</f>
        <v>0</v>
      </c>
    </row>
    <row r="34" ht="26.25" customHeight="1">
      <c r="A34" s="26" t="s">
        <v>51</v>
      </c>
      <c r="B34" s="34"/>
      <c r="C34" s="33"/>
      <c r="D34" s="12">
        <v>4.41</v>
      </c>
      <c r="E34" s="12">
        <f t="shared" si="3"/>
        <v>0</v>
      </c>
    </row>
    <row r="35" ht="26.25" customHeight="1">
      <c r="A35" s="26" t="s">
        <v>52</v>
      </c>
      <c r="B35" s="15"/>
      <c r="C35" s="16"/>
      <c r="D35" s="12">
        <v>5.13</v>
      </c>
      <c r="E35" s="12">
        <f t="shared" si="3"/>
        <v>0</v>
      </c>
    </row>
    <row r="36" ht="26.25" customHeight="1">
      <c r="A36" s="26" t="s">
        <v>53</v>
      </c>
      <c r="B36" s="16"/>
      <c r="C36" s="15"/>
      <c r="D36" s="12">
        <v>16.0</v>
      </c>
      <c r="E36" s="12">
        <f t="shared" si="3"/>
        <v>0</v>
      </c>
    </row>
    <row r="37" ht="26.25" customHeight="1">
      <c r="A37" s="26" t="s">
        <v>54</v>
      </c>
      <c r="B37" s="15"/>
      <c r="C37" s="16"/>
      <c r="D37" s="12">
        <v>35.55</v>
      </c>
      <c r="E37" s="12">
        <f t="shared" si="3"/>
        <v>0</v>
      </c>
    </row>
    <row r="38" ht="26.25" customHeight="1">
      <c r="A38" s="26" t="s">
        <v>55</v>
      </c>
      <c r="B38" s="15"/>
      <c r="C38" s="16"/>
      <c r="D38" s="12">
        <v>39.06</v>
      </c>
      <c r="E38" s="12">
        <f t="shared" si="3"/>
        <v>0</v>
      </c>
    </row>
    <row r="39" ht="26.25" customHeight="1">
      <c r="A39" s="35" t="s">
        <v>56</v>
      </c>
      <c r="B39" s="2"/>
      <c r="C39" s="2"/>
      <c r="D39" s="2"/>
      <c r="E39" s="3"/>
    </row>
    <row r="40" ht="26.25" customHeight="1">
      <c r="A40" s="26" t="s">
        <v>57</v>
      </c>
      <c r="B40" s="84" t="s">
        <v>39</v>
      </c>
      <c r="C40" s="14" t="s">
        <v>13</v>
      </c>
      <c r="D40" s="12">
        <v>10.5</v>
      </c>
      <c r="E40" s="12">
        <f t="shared" ref="E40:E45" si="4">B40*D40</f>
        <v>189</v>
      </c>
    </row>
    <row r="41" ht="26.25" customHeight="1">
      <c r="A41" s="26" t="s">
        <v>59</v>
      </c>
      <c r="B41" s="14"/>
      <c r="C41" s="11"/>
      <c r="D41" s="12">
        <v>19.98</v>
      </c>
      <c r="E41" s="12">
        <f t="shared" si="4"/>
        <v>0</v>
      </c>
    </row>
    <row r="42" ht="26.25" customHeight="1">
      <c r="A42" s="26" t="s">
        <v>60</v>
      </c>
      <c r="B42" s="84" t="s">
        <v>10</v>
      </c>
      <c r="C42" s="11"/>
      <c r="D42" s="12">
        <v>9.72</v>
      </c>
      <c r="E42" s="12">
        <f t="shared" si="4"/>
        <v>9.72</v>
      </c>
    </row>
    <row r="43" ht="26.25" customHeight="1">
      <c r="A43" s="26" t="s">
        <v>61</v>
      </c>
      <c r="B43" s="37"/>
      <c r="C43" s="19"/>
      <c r="D43" s="12">
        <v>13.8</v>
      </c>
      <c r="E43" s="12">
        <f t="shared" si="4"/>
        <v>0</v>
      </c>
    </row>
    <row r="44" ht="26.25" customHeight="1">
      <c r="A44" s="26" t="s">
        <v>62</v>
      </c>
      <c r="B44" s="37" t="s">
        <v>10</v>
      </c>
      <c r="C44" s="24"/>
      <c r="D44" s="12">
        <v>36.9</v>
      </c>
      <c r="E44" s="12">
        <f t="shared" si="4"/>
        <v>36.9</v>
      </c>
    </row>
    <row r="45" ht="26.25" customHeight="1">
      <c r="A45" s="26" t="s">
        <v>63</v>
      </c>
      <c r="B45" s="14"/>
      <c r="C45" s="11"/>
      <c r="D45" s="12">
        <v>33.57</v>
      </c>
      <c r="E45" s="12">
        <f t="shared" si="4"/>
        <v>0</v>
      </c>
    </row>
    <row r="46" ht="26.25" customHeight="1">
      <c r="A46" s="38" t="s">
        <v>64</v>
      </c>
      <c r="E46" s="39"/>
    </row>
    <row r="47" ht="26.25" customHeight="1">
      <c r="A47" s="26" t="s">
        <v>65</v>
      </c>
      <c r="B47" s="14"/>
      <c r="C47" s="11"/>
      <c r="D47" s="12">
        <v>9.0</v>
      </c>
      <c r="E47" s="12">
        <f t="shared" ref="E47:E58" si="5">B47*D47</f>
        <v>0</v>
      </c>
    </row>
    <row r="48" ht="26.25" customHeight="1">
      <c r="A48" s="26" t="s">
        <v>66</v>
      </c>
      <c r="B48" s="14"/>
      <c r="C48" s="11"/>
      <c r="D48" s="12">
        <v>10.6</v>
      </c>
      <c r="E48" s="12">
        <f t="shared" si="5"/>
        <v>0</v>
      </c>
    </row>
    <row r="49" ht="26.25" customHeight="1">
      <c r="A49" s="26" t="s">
        <v>67</v>
      </c>
      <c r="B49" s="14"/>
      <c r="C49" s="11"/>
      <c r="D49" s="12">
        <v>16.0</v>
      </c>
      <c r="E49" s="12">
        <f t="shared" si="5"/>
        <v>0</v>
      </c>
    </row>
    <row r="50" ht="26.25" customHeight="1">
      <c r="A50" s="26" t="s">
        <v>68</v>
      </c>
      <c r="B50" s="84" t="s">
        <v>26</v>
      </c>
      <c r="C50" s="14" t="s">
        <v>10</v>
      </c>
      <c r="D50" s="12">
        <v>15.4</v>
      </c>
      <c r="E50" s="12">
        <f t="shared" si="5"/>
        <v>92.4</v>
      </c>
    </row>
    <row r="51" ht="26.25" customHeight="1">
      <c r="A51" s="26" t="s">
        <v>69</v>
      </c>
      <c r="B51" s="14"/>
      <c r="C51" s="11"/>
      <c r="D51" s="12">
        <v>43.2</v>
      </c>
      <c r="E51" s="12">
        <f t="shared" si="5"/>
        <v>0</v>
      </c>
    </row>
    <row r="52" ht="26.25" customHeight="1">
      <c r="A52" s="26" t="s">
        <v>70</v>
      </c>
      <c r="B52" s="14"/>
      <c r="C52" s="11"/>
      <c r="D52" s="12">
        <v>13.6</v>
      </c>
      <c r="E52" s="12">
        <f t="shared" si="5"/>
        <v>0</v>
      </c>
    </row>
    <row r="53" ht="26.25" customHeight="1">
      <c r="A53" s="26" t="s">
        <v>71</v>
      </c>
      <c r="B53" s="14"/>
      <c r="C53" s="11"/>
      <c r="D53" s="12">
        <v>16.5</v>
      </c>
      <c r="E53" s="12">
        <f t="shared" si="5"/>
        <v>0</v>
      </c>
    </row>
    <row r="54" ht="26.25" customHeight="1">
      <c r="A54" s="26" t="s">
        <v>72</v>
      </c>
      <c r="B54" s="14"/>
      <c r="C54" s="11"/>
      <c r="D54" s="12">
        <v>24.2</v>
      </c>
      <c r="E54" s="12">
        <f t="shared" si="5"/>
        <v>0</v>
      </c>
    </row>
    <row r="55" ht="26.25" customHeight="1">
      <c r="A55" s="26" t="s">
        <v>73</v>
      </c>
      <c r="B55" s="14"/>
      <c r="C55" s="11"/>
      <c r="D55" s="12">
        <v>23.3</v>
      </c>
      <c r="E55" s="12">
        <f t="shared" si="5"/>
        <v>0</v>
      </c>
    </row>
    <row r="56" ht="26.25" customHeight="1">
      <c r="A56" s="26" t="s">
        <v>74</v>
      </c>
      <c r="B56" s="10"/>
      <c r="C56" s="14"/>
      <c r="D56" s="12">
        <v>30.0</v>
      </c>
      <c r="E56" s="12">
        <f t="shared" si="5"/>
        <v>0</v>
      </c>
    </row>
    <row r="57" ht="26.25" customHeight="1">
      <c r="A57" s="26" t="s">
        <v>75</v>
      </c>
      <c r="B57" s="14"/>
      <c r="C57" s="11"/>
      <c r="D57" s="12">
        <v>88.0</v>
      </c>
      <c r="E57" s="12">
        <f t="shared" si="5"/>
        <v>0</v>
      </c>
    </row>
    <row r="58" ht="26.25" customHeight="1">
      <c r="A58" s="26" t="s">
        <v>76</v>
      </c>
      <c r="B58" s="14"/>
      <c r="C58" s="11"/>
      <c r="D58" s="12">
        <v>29.7</v>
      </c>
      <c r="E58" s="12">
        <f t="shared" si="5"/>
        <v>0</v>
      </c>
    </row>
    <row r="59" ht="26.25" customHeight="1">
      <c r="A59" s="40" t="s">
        <v>77</v>
      </c>
      <c r="E59" s="39"/>
    </row>
    <row r="60" ht="26.25" customHeight="1">
      <c r="A60" s="26" t="s">
        <v>78</v>
      </c>
      <c r="B60" s="15">
        <v>6.0</v>
      </c>
      <c r="C60" s="15">
        <v>1.0</v>
      </c>
      <c r="D60" s="12">
        <v>12.54</v>
      </c>
      <c r="E60" s="12">
        <f t="shared" ref="E60:E70" si="6">B60*D60</f>
        <v>75.24</v>
      </c>
    </row>
    <row r="61" ht="26.25" customHeight="1">
      <c r="A61" s="26" t="s">
        <v>79</v>
      </c>
      <c r="B61" s="15"/>
      <c r="C61" s="16"/>
      <c r="D61" s="12">
        <v>17.55</v>
      </c>
      <c r="E61" s="12">
        <f t="shared" si="6"/>
        <v>0</v>
      </c>
    </row>
    <row r="62" ht="26.25" customHeight="1">
      <c r="A62" s="26" t="s">
        <v>80</v>
      </c>
      <c r="B62" s="15">
        <v>2.0</v>
      </c>
      <c r="C62" s="11"/>
      <c r="D62" s="12">
        <v>23.4</v>
      </c>
      <c r="E62" s="12">
        <f t="shared" si="6"/>
        <v>46.8</v>
      </c>
    </row>
    <row r="63" ht="26.25" customHeight="1">
      <c r="A63" s="26" t="s">
        <v>81</v>
      </c>
      <c r="B63" s="84" t="s">
        <v>8</v>
      </c>
      <c r="C63" s="11"/>
      <c r="D63" s="12">
        <v>33.12</v>
      </c>
      <c r="E63" s="12">
        <f t="shared" si="6"/>
        <v>66.24</v>
      </c>
    </row>
    <row r="64" ht="26.25" customHeight="1">
      <c r="A64" s="26" t="s">
        <v>82</v>
      </c>
      <c r="B64" s="84" t="s">
        <v>26</v>
      </c>
      <c r="C64" s="14" t="s">
        <v>10</v>
      </c>
      <c r="D64" s="12">
        <v>14.8</v>
      </c>
      <c r="E64" s="12">
        <f t="shared" si="6"/>
        <v>88.8</v>
      </c>
    </row>
    <row r="65" ht="26.25" customHeight="1">
      <c r="A65" s="26" t="s">
        <v>83</v>
      </c>
      <c r="B65" s="15"/>
      <c r="C65" s="11"/>
      <c r="D65" s="12">
        <v>11.9</v>
      </c>
      <c r="E65" s="12">
        <f t="shared" si="6"/>
        <v>0</v>
      </c>
    </row>
    <row r="66" ht="26.25" customHeight="1">
      <c r="A66" s="26" t="s">
        <v>84</v>
      </c>
      <c r="B66" s="10"/>
      <c r="C66" s="11"/>
      <c r="D66" s="12">
        <v>9.09</v>
      </c>
      <c r="E66" s="12">
        <f t="shared" si="6"/>
        <v>0</v>
      </c>
    </row>
    <row r="67" ht="26.25" customHeight="1">
      <c r="A67" s="26" t="s">
        <v>85</v>
      </c>
      <c r="B67" s="15"/>
      <c r="C67" s="11"/>
      <c r="D67" s="12">
        <v>15.2</v>
      </c>
      <c r="E67" s="12">
        <f t="shared" si="6"/>
        <v>0</v>
      </c>
    </row>
    <row r="68" ht="26.25" customHeight="1">
      <c r="A68" s="26" t="s">
        <v>86</v>
      </c>
      <c r="B68" s="15"/>
      <c r="C68" s="11"/>
      <c r="D68" s="12">
        <v>17.46</v>
      </c>
      <c r="E68" s="12">
        <f t="shared" si="6"/>
        <v>0</v>
      </c>
    </row>
    <row r="69" ht="26.25" customHeight="1">
      <c r="A69" s="41" t="s">
        <v>87</v>
      </c>
      <c r="B69" s="15"/>
      <c r="C69" s="11"/>
      <c r="D69" s="12">
        <v>7.85</v>
      </c>
      <c r="E69" s="12">
        <f t="shared" si="6"/>
        <v>0</v>
      </c>
    </row>
    <row r="70" ht="26.25" customHeight="1">
      <c r="A70" s="26" t="s">
        <v>88</v>
      </c>
      <c r="B70" s="27">
        <v>1.0</v>
      </c>
      <c r="C70" s="28"/>
      <c r="D70" s="12">
        <v>14.58</v>
      </c>
      <c r="E70" s="12">
        <f t="shared" si="6"/>
        <v>14.58</v>
      </c>
    </row>
    <row r="71" ht="26.25" customHeight="1">
      <c r="A71" s="35" t="s">
        <v>89</v>
      </c>
      <c r="B71" s="2"/>
      <c r="C71" s="2"/>
      <c r="D71" s="2"/>
      <c r="E71" s="42"/>
    </row>
    <row r="72" ht="26.25" customHeight="1">
      <c r="A72" s="41" t="s">
        <v>90</v>
      </c>
      <c r="B72" s="15"/>
      <c r="C72" s="43"/>
      <c r="D72" s="12">
        <v>0.88</v>
      </c>
      <c r="E72" s="12">
        <f t="shared" ref="E72:E73" si="7">B72*D72</f>
        <v>0</v>
      </c>
    </row>
    <row r="73" ht="26.25" customHeight="1">
      <c r="A73" s="41" t="s">
        <v>91</v>
      </c>
      <c r="B73" s="15"/>
      <c r="C73" s="44"/>
      <c r="D73" s="12">
        <v>1.01</v>
      </c>
      <c r="E73" s="12">
        <f t="shared" si="7"/>
        <v>0</v>
      </c>
    </row>
    <row r="74" ht="26.25" customHeight="1">
      <c r="A74" s="40" t="s">
        <v>92</v>
      </c>
      <c r="E74" s="39"/>
    </row>
    <row r="75" ht="30.0" customHeight="1">
      <c r="A75" s="41" t="s">
        <v>93</v>
      </c>
      <c r="B75" s="15">
        <v>2.0</v>
      </c>
      <c r="C75" s="45"/>
      <c r="D75" s="12">
        <v>5.94</v>
      </c>
      <c r="E75" s="12">
        <f t="shared" ref="E75:E76" si="8">B75*D75</f>
        <v>11.88</v>
      </c>
    </row>
    <row r="76" ht="26.25" customHeight="1">
      <c r="A76" s="41" t="s">
        <v>94</v>
      </c>
      <c r="B76" s="45"/>
      <c r="C76" s="15"/>
      <c r="D76" s="12">
        <v>2.7</v>
      </c>
      <c r="E76" s="12">
        <f t="shared" si="8"/>
        <v>0</v>
      </c>
    </row>
    <row r="77" ht="30.0" customHeight="1">
      <c r="A77" s="46" t="s">
        <v>95</v>
      </c>
      <c r="B77" s="31"/>
      <c r="C77" s="31"/>
      <c r="D77" s="31"/>
      <c r="E77" s="47">
        <f>SUM(E4:E76)</f>
        <v>1230.76</v>
      </c>
      <c r="F77" s="48"/>
    </row>
    <row r="78" ht="26.25" customHeight="1">
      <c r="A78" s="49" t="s">
        <v>96</v>
      </c>
      <c r="B78" s="31"/>
      <c r="C78" s="31"/>
      <c r="D78" s="31"/>
      <c r="E78" s="50">
        <f>E77*22%</f>
        <v>270.7672</v>
      </c>
      <c r="F78" s="48"/>
    </row>
    <row r="79" ht="33.75" customHeight="1">
      <c r="A79" s="51" t="s">
        <v>97</v>
      </c>
      <c r="B79" s="31"/>
      <c r="C79" s="31"/>
      <c r="D79" s="31"/>
      <c r="E79" s="52">
        <f>E77+E78</f>
        <v>1501.5272</v>
      </c>
      <c r="F79" s="48"/>
    </row>
    <row r="80" ht="26.25" customHeight="1">
      <c r="F80" s="48"/>
    </row>
    <row r="81" ht="26.25" customHeight="1">
      <c r="F81" s="48"/>
    </row>
    <row r="82" ht="30.0" customHeight="1">
      <c r="A82" s="53" t="s">
        <v>98</v>
      </c>
      <c r="B82" s="31"/>
      <c r="C82" s="31"/>
      <c r="D82" s="31"/>
      <c r="E82" s="32"/>
      <c r="F82" s="48"/>
    </row>
    <row r="83" ht="26.25" customHeight="1">
      <c r="A83" s="54" t="s">
        <v>6</v>
      </c>
      <c r="B83" s="31"/>
      <c r="C83" s="31"/>
      <c r="D83" s="31"/>
      <c r="E83" s="32"/>
      <c r="F83" s="48"/>
    </row>
    <row r="84" ht="26.25" customHeight="1">
      <c r="A84" s="55" t="s">
        <v>99</v>
      </c>
      <c r="B84" s="56"/>
      <c r="C84" s="56"/>
      <c r="D84" s="57">
        <v>7.8</v>
      </c>
      <c r="E84" s="58">
        <f t="shared" ref="E84:E92" si="9">B84*D84</f>
        <v>0</v>
      </c>
      <c r="F84" s="48"/>
    </row>
    <row r="85" ht="26.25" customHeight="1">
      <c r="A85" s="55" t="s">
        <v>100</v>
      </c>
      <c r="B85" s="56"/>
      <c r="C85" s="56"/>
      <c r="D85" s="57">
        <v>3.15</v>
      </c>
      <c r="E85" s="58">
        <f t="shared" si="9"/>
        <v>0</v>
      </c>
      <c r="F85" s="48"/>
    </row>
    <row r="86" ht="26.25" customHeight="1">
      <c r="A86" s="55" t="s">
        <v>101</v>
      </c>
      <c r="B86" s="56"/>
      <c r="C86" s="56"/>
      <c r="D86" s="57">
        <v>0.19</v>
      </c>
      <c r="E86" s="58">
        <f t="shared" si="9"/>
        <v>0</v>
      </c>
      <c r="F86" s="48"/>
    </row>
    <row r="87" ht="26.25" customHeight="1">
      <c r="A87" s="55" t="s">
        <v>102</v>
      </c>
      <c r="B87" s="56"/>
      <c r="C87" s="56"/>
      <c r="D87" s="57">
        <v>0.19</v>
      </c>
      <c r="E87" s="58">
        <f t="shared" si="9"/>
        <v>0</v>
      </c>
      <c r="F87" s="48"/>
    </row>
    <row r="88" ht="26.25" customHeight="1">
      <c r="A88" s="55" t="s">
        <v>103</v>
      </c>
      <c r="B88" s="56"/>
      <c r="C88" s="56"/>
      <c r="D88" s="57">
        <v>1.6</v>
      </c>
      <c r="E88" s="58">
        <f t="shared" si="9"/>
        <v>0</v>
      </c>
      <c r="F88" s="48"/>
    </row>
    <row r="89" ht="26.25" customHeight="1">
      <c r="A89" s="55" t="s">
        <v>104</v>
      </c>
      <c r="B89" s="56"/>
      <c r="C89" s="56"/>
      <c r="D89" s="57">
        <v>0.88</v>
      </c>
      <c r="E89" s="58">
        <f t="shared" si="9"/>
        <v>0</v>
      </c>
      <c r="F89" s="48"/>
    </row>
    <row r="90" ht="26.25" customHeight="1">
      <c r="A90" s="55" t="s">
        <v>105</v>
      </c>
      <c r="B90" s="56"/>
      <c r="C90" s="56"/>
      <c r="D90" s="57">
        <v>0.88</v>
      </c>
      <c r="E90" s="58">
        <f t="shared" si="9"/>
        <v>0</v>
      </c>
      <c r="F90" s="48"/>
    </row>
    <row r="91" ht="26.25" customHeight="1">
      <c r="A91" s="59" t="s">
        <v>106</v>
      </c>
      <c r="B91" s="15"/>
      <c r="C91" s="15"/>
      <c r="D91" s="60">
        <v>2.65</v>
      </c>
      <c r="E91" s="61">
        <f t="shared" si="9"/>
        <v>0</v>
      </c>
      <c r="F91" s="48"/>
    </row>
    <row r="92" ht="26.25" customHeight="1">
      <c r="A92" s="59" t="s">
        <v>107</v>
      </c>
      <c r="B92" s="15"/>
      <c r="C92" s="15"/>
      <c r="D92" s="60">
        <v>2.25</v>
      </c>
      <c r="E92" s="61">
        <f t="shared" si="9"/>
        <v>0</v>
      </c>
      <c r="F92" s="48"/>
    </row>
    <row r="93" ht="26.25" customHeight="1">
      <c r="A93" s="62" t="s">
        <v>108</v>
      </c>
      <c r="B93" s="31"/>
      <c r="C93" s="31"/>
      <c r="D93" s="31"/>
      <c r="E93" s="32"/>
      <c r="F93" s="48"/>
    </row>
    <row r="94" ht="26.25" customHeight="1">
      <c r="A94" s="55" t="s">
        <v>109</v>
      </c>
      <c r="B94" s="56"/>
      <c r="C94" s="56"/>
      <c r="D94" s="57">
        <v>3.56</v>
      </c>
      <c r="E94" s="58">
        <f t="shared" ref="E94:E96" si="10">B94*D94</f>
        <v>0</v>
      </c>
      <c r="F94" s="48"/>
    </row>
    <row r="95" ht="26.25" customHeight="1">
      <c r="A95" s="55" t="s">
        <v>110</v>
      </c>
      <c r="B95" s="56"/>
      <c r="C95" s="56"/>
      <c r="D95" s="57">
        <v>3.69</v>
      </c>
      <c r="E95" s="58">
        <f t="shared" si="10"/>
        <v>0</v>
      </c>
      <c r="F95" s="48"/>
    </row>
    <row r="96" ht="26.25" customHeight="1">
      <c r="A96" s="55" t="s">
        <v>111</v>
      </c>
      <c r="B96" s="56"/>
      <c r="C96" s="56"/>
      <c r="D96" s="57">
        <v>4.01</v>
      </c>
      <c r="E96" s="58">
        <f t="shared" si="10"/>
        <v>0</v>
      </c>
      <c r="F96" s="48"/>
    </row>
    <row r="97" ht="26.25" customHeight="1">
      <c r="A97" s="63" t="s">
        <v>56</v>
      </c>
      <c r="B97" s="31"/>
      <c r="C97" s="31"/>
      <c r="D97" s="31"/>
      <c r="E97" s="32"/>
      <c r="F97" s="48"/>
    </row>
    <row r="98" ht="26.25" customHeight="1">
      <c r="A98" s="55" t="s">
        <v>112</v>
      </c>
      <c r="B98" s="56"/>
      <c r="C98" s="56"/>
      <c r="D98" s="57">
        <v>9.19</v>
      </c>
      <c r="E98" s="58">
        <f t="shared" ref="E98:E99" si="11">B98*D98</f>
        <v>0</v>
      </c>
      <c r="F98" s="48"/>
    </row>
    <row r="99" ht="26.25" customHeight="1">
      <c r="A99" s="55" t="s">
        <v>113</v>
      </c>
      <c r="B99" s="56"/>
      <c r="C99" s="56"/>
      <c r="D99" s="57">
        <v>8.41</v>
      </c>
      <c r="E99" s="58">
        <f t="shared" si="11"/>
        <v>0</v>
      </c>
      <c r="F99" s="48"/>
    </row>
    <row r="100" ht="26.25" customHeight="1">
      <c r="A100" s="54" t="s">
        <v>64</v>
      </c>
      <c r="B100" s="31"/>
      <c r="C100" s="31"/>
      <c r="D100" s="31"/>
      <c r="E100" s="32"/>
      <c r="F100" s="48"/>
    </row>
    <row r="101" ht="26.25" customHeight="1">
      <c r="A101" s="55" t="s">
        <v>71</v>
      </c>
      <c r="B101" s="56"/>
      <c r="C101" s="56"/>
      <c r="D101" s="57">
        <v>13.5</v>
      </c>
      <c r="E101" s="58">
        <f t="shared" ref="E101:E102" si="12">B101*D101</f>
        <v>0</v>
      </c>
      <c r="F101" s="48"/>
    </row>
    <row r="102" ht="26.25" customHeight="1">
      <c r="A102" s="55" t="s">
        <v>114</v>
      </c>
      <c r="B102" s="56"/>
      <c r="C102" s="56"/>
      <c r="D102" s="57">
        <v>10.46</v>
      </c>
      <c r="E102" s="58">
        <f t="shared" si="12"/>
        <v>0</v>
      </c>
      <c r="F102" s="48"/>
    </row>
    <row r="103" ht="26.25" customHeight="1">
      <c r="A103" s="62" t="s">
        <v>115</v>
      </c>
      <c r="B103" s="31"/>
      <c r="C103" s="31"/>
      <c r="D103" s="31"/>
      <c r="E103" s="32"/>
      <c r="F103" s="48"/>
    </row>
    <row r="104" ht="26.25" customHeight="1">
      <c r="A104" s="55" t="s">
        <v>116</v>
      </c>
      <c r="B104" s="56"/>
      <c r="C104" s="56"/>
      <c r="D104" s="57">
        <v>14.67</v>
      </c>
      <c r="E104" s="58">
        <f t="shared" ref="E104:E108" si="13">B104*D104</f>
        <v>0</v>
      </c>
      <c r="F104" s="48"/>
    </row>
    <row r="105" ht="26.25" customHeight="1">
      <c r="A105" s="55" t="s">
        <v>117</v>
      </c>
      <c r="B105" s="56"/>
      <c r="C105" s="56"/>
      <c r="D105" s="57">
        <v>13.37</v>
      </c>
      <c r="E105" s="58">
        <f t="shared" si="13"/>
        <v>0</v>
      </c>
      <c r="F105" s="48"/>
    </row>
    <row r="106" ht="26.25" customHeight="1">
      <c r="A106" s="55" t="s">
        <v>118</v>
      </c>
      <c r="B106" s="56"/>
      <c r="C106" s="56"/>
      <c r="D106" s="57">
        <v>8.55</v>
      </c>
      <c r="E106" s="58">
        <f t="shared" si="13"/>
        <v>0</v>
      </c>
      <c r="F106" s="48"/>
    </row>
    <row r="107" ht="26.25" customHeight="1">
      <c r="A107" s="55" t="s">
        <v>119</v>
      </c>
      <c r="B107" s="56"/>
      <c r="C107" s="56"/>
      <c r="D107" s="57">
        <v>21.56</v>
      </c>
      <c r="E107" s="58">
        <f t="shared" si="13"/>
        <v>0</v>
      </c>
      <c r="F107" s="48"/>
    </row>
    <row r="108" ht="26.25" customHeight="1">
      <c r="A108" s="55" t="s">
        <v>120</v>
      </c>
      <c r="B108" s="56"/>
      <c r="C108" s="56"/>
      <c r="D108" s="57">
        <v>20.23</v>
      </c>
      <c r="E108" s="58">
        <f t="shared" si="13"/>
        <v>0</v>
      </c>
      <c r="F108" s="48"/>
    </row>
    <row r="109" ht="26.25" customHeight="1">
      <c r="A109" s="64" t="s">
        <v>77</v>
      </c>
      <c r="B109" s="31"/>
      <c r="C109" s="31"/>
      <c r="D109" s="31"/>
      <c r="E109" s="32"/>
      <c r="F109" s="48"/>
    </row>
    <row r="110" ht="26.25" customHeight="1">
      <c r="A110" s="55" t="s">
        <v>121</v>
      </c>
      <c r="B110" s="56"/>
      <c r="C110" s="56"/>
      <c r="D110" s="57"/>
      <c r="E110" s="58"/>
      <c r="F110" s="48"/>
    </row>
    <row r="111" ht="26.25" customHeight="1">
      <c r="A111" s="55" t="s">
        <v>122</v>
      </c>
      <c r="B111" s="56"/>
      <c r="C111" s="56"/>
      <c r="D111" s="57">
        <v>8.77</v>
      </c>
      <c r="E111" s="58">
        <f t="shared" ref="E111:E112" si="14">B111*D111</f>
        <v>0</v>
      </c>
      <c r="F111" s="48"/>
    </row>
    <row r="112" ht="26.25" customHeight="1">
      <c r="A112" s="55" t="s">
        <v>123</v>
      </c>
      <c r="B112" s="56"/>
      <c r="C112" s="56"/>
      <c r="D112" s="57">
        <v>7.1</v>
      </c>
      <c r="E112" s="58">
        <f t="shared" si="14"/>
        <v>0</v>
      </c>
      <c r="F112" s="48"/>
    </row>
    <row r="113" ht="26.25" customHeight="1">
      <c r="A113" s="63" t="s">
        <v>89</v>
      </c>
      <c r="B113" s="31"/>
      <c r="C113" s="31"/>
      <c r="D113" s="31"/>
      <c r="E113" s="32"/>
      <c r="F113" s="48"/>
    </row>
    <row r="114" ht="26.25" customHeight="1">
      <c r="A114" s="55" t="s">
        <v>124</v>
      </c>
      <c r="B114" s="56"/>
      <c r="C114" s="56"/>
      <c r="D114" s="57">
        <v>0.92</v>
      </c>
      <c r="E114" s="58">
        <f>B114*D114</f>
        <v>0</v>
      </c>
      <c r="F114" s="48"/>
    </row>
    <row r="115" ht="26.25" customHeight="1">
      <c r="A115" s="64" t="s">
        <v>92</v>
      </c>
      <c r="B115" s="31"/>
      <c r="C115" s="31"/>
      <c r="D115" s="31"/>
      <c r="E115" s="32"/>
      <c r="F115" s="48"/>
    </row>
    <row r="116" ht="26.25" customHeight="1">
      <c r="A116" s="65" t="s">
        <v>93</v>
      </c>
      <c r="B116" s="56"/>
      <c r="C116" s="56"/>
      <c r="D116" s="57">
        <v>5.1</v>
      </c>
      <c r="E116" s="58">
        <f t="shared" ref="E116:E117" si="15">B116*D116</f>
        <v>0</v>
      </c>
      <c r="F116" s="48"/>
    </row>
    <row r="117" ht="26.25" customHeight="1">
      <c r="A117" s="55" t="s">
        <v>125</v>
      </c>
      <c r="B117" s="56"/>
      <c r="C117" s="56"/>
      <c r="D117" s="57">
        <v>42.31</v>
      </c>
      <c r="E117" s="58">
        <f t="shared" si="15"/>
        <v>0</v>
      </c>
      <c r="F117" s="48"/>
    </row>
    <row r="118" ht="30.0" customHeight="1">
      <c r="A118" s="46" t="s">
        <v>95</v>
      </c>
      <c r="B118" s="31"/>
      <c r="C118" s="31"/>
      <c r="D118" s="32"/>
      <c r="E118" s="66">
        <f>SUM(E84:E117)</f>
        <v>0</v>
      </c>
      <c r="F118" s="48"/>
    </row>
    <row r="119" ht="26.25" customHeight="1">
      <c r="A119" s="49" t="s">
        <v>96</v>
      </c>
      <c r="B119" s="31"/>
      <c r="C119" s="31"/>
      <c r="D119" s="32"/>
      <c r="E119" s="50">
        <f>E118*22%</f>
        <v>0</v>
      </c>
      <c r="F119" s="48"/>
    </row>
    <row r="120" ht="33.75" customHeight="1">
      <c r="A120" s="51" t="s">
        <v>97</v>
      </c>
      <c r="B120" s="31"/>
      <c r="C120" s="31"/>
      <c r="D120" s="31"/>
      <c r="E120" s="67">
        <f>SUM(E118:E119)</f>
        <v>0</v>
      </c>
      <c r="F120" s="48"/>
    </row>
    <row r="121" ht="26.25" customHeight="1">
      <c r="F121" s="48"/>
    </row>
    <row r="122" ht="26.25" customHeight="1">
      <c r="F122" s="48"/>
    </row>
    <row r="123" ht="30.0" customHeight="1">
      <c r="A123" s="53" t="s">
        <v>126</v>
      </c>
      <c r="B123" s="31"/>
      <c r="C123" s="31"/>
      <c r="D123" s="31"/>
      <c r="E123" s="32"/>
      <c r="F123" s="48"/>
    </row>
    <row r="124" ht="26.25" customHeight="1">
      <c r="A124" s="54" t="s">
        <v>6</v>
      </c>
      <c r="B124" s="31"/>
      <c r="C124" s="31"/>
      <c r="D124" s="31"/>
      <c r="E124" s="32"/>
      <c r="F124" s="48"/>
    </row>
    <row r="125" ht="26.25" customHeight="1">
      <c r="A125" s="55" t="s">
        <v>101</v>
      </c>
      <c r="B125" s="15"/>
      <c r="C125" s="56"/>
      <c r="D125" s="60">
        <v>0.21</v>
      </c>
      <c r="E125" s="58">
        <f t="shared" ref="E125:E129" si="16">B125*D125</f>
        <v>0</v>
      </c>
    </row>
    <row r="126" ht="26.25" customHeight="1">
      <c r="A126" s="55" t="s">
        <v>127</v>
      </c>
      <c r="B126" s="15"/>
      <c r="C126" s="56"/>
      <c r="D126" s="60">
        <f>28.63/24</f>
        <v>1.192916667</v>
      </c>
      <c r="E126" s="58">
        <f t="shared" si="16"/>
        <v>0</v>
      </c>
    </row>
    <row r="127" ht="26.25" customHeight="1">
      <c r="A127" s="55" t="s">
        <v>128</v>
      </c>
      <c r="B127" s="15"/>
      <c r="C127" s="15"/>
      <c r="D127" s="60">
        <f>9.73/6</f>
        <v>1.621666667</v>
      </c>
      <c r="E127" s="61">
        <f t="shared" si="16"/>
        <v>0</v>
      </c>
    </row>
    <row r="128" ht="26.25" customHeight="1">
      <c r="A128" s="59" t="s">
        <v>106</v>
      </c>
      <c r="B128" s="15"/>
      <c r="C128" s="15"/>
      <c r="D128" s="60">
        <f>14.75/6</f>
        <v>2.458333333</v>
      </c>
      <c r="E128" s="61">
        <f t="shared" si="16"/>
        <v>0</v>
      </c>
    </row>
    <row r="129" ht="26.25" customHeight="1">
      <c r="A129" s="59" t="s">
        <v>107</v>
      </c>
      <c r="B129" s="15"/>
      <c r="C129" s="15"/>
      <c r="D129" s="60">
        <f>13.79/6</f>
        <v>2.298333333</v>
      </c>
      <c r="E129" s="61">
        <f t="shared" si="16"/>
        <v>0</v>
      </c>
    </row>
    <row r="130" ht="26.25" customHeight="1">
      <c r="A130" s="68" t="s">
        <v>43</v>
      </c>
      <c r="B130" s="31"/>
      <c r="C130" s="31"/>
      <c r="D130" s="31"/>
      <c r="E130" s="32"/>
    </row>
    <row r="131" ht="26.25" customHeight="1">
      <c r="A131" s="69" t="s">
        <v>44</v>
      </c>
      <c r="B131" s="15"/>
      <c r="C131" s="15"/>
      <c r="D131" s="60">
        <v>46.97</v>
      </c>
      <c r="E131" s="61">
        <f t="shared" ref="E131:E135" si="17">B131*D131</f>
        <v>0</v>
      </c>
    </row>
    <row r="132" ht="26.25" customHeight="1">
      <c r="A132" s="69" t="s">
        <v>45</v>
      </c>
      <c r="B132" s="15"/>
      <c r="C132" s="15"/>
      <c r="D132" s="60">
        <v>46.97</v>
      </c>
      <c r="E132" s="61">
        <f t="shared" si="17"/>
        <v>0</v>
      </c>
    </row>
    <row r="133" ht="26.25" customHeight="1">
      <c r="A133" s="69" t="s">
        <v>46</v>
      </c>
      <c r="B133" s="15"/>
      <c r="C133" s="15"/>
      <c r="D133" s="60">
        <v>46.97</v>
      </c>
      <c r="E133" s="61">
        <f t="shared" si="17"/>
        <v>0</v>
      </c>
    </row>
    <row r="134" ht="26.25" customHeight="1">
      <c r="A134" s="59" t="s">
        <v>47</v>
      </c>
      <c r="B134" s="15"/>
      <c r="C134" s="15"/>
      <c r="D134" s="60">
        <v>23.0</v>
      </c>
      <c r="E134" s="61">
        <f t="shared" si="17"/>
        <v>0</v>
      </c>
    </row>
    <row r="135" ht="26.25" customHeight="1">
      <c r="A135" s="59" t="s">
        <v>48</v>
      </c>
      <c r="B135" s="15"/>
      <c r="C135" s="15"/>
      <c r="D135" s="60">
        <v>42.0</v>
      </c>
      <c r="E135" s="61">
        <f t="shared" si="17"/>
        <v>0</v>
      </c>
    </row>
    <row r="136" ht="26.25" customHeight="1">
      <c r="A136" s="62" t="s">
        <v>108</v>
      </c>
      <c r="B136" s="31"/>
      <c r="C136" s="31"/>
      <c r="D136" s="31"/>
      <c r="E136" s="32"/>
    </row>
    <row r="137" ht="26.25" customHeight="1">
      <c r="A137" s="55" t="s">
        <v>129</v>
      </c>
      <c r="B137" s="56"/>
      <c r="C137" s="56"/>
      <c r="D137" s="57">
        <v>2.88</v>
      </c>
      <c r="E137" s="58">
        <f>B137*D137</f>
        <v>0</v>
      </c>
    </row>
    <row r="138" ht="26.25" customHeight="1">
      <c r="A138" s="63" t="s">
        <v>56</v>
      </c>
      <c r="B138" s="31"/>
      <c r="C138" s="31"/>
      <c r="D138" s="31"/>
      <c r="E138" s="32"/>
    </row>
    <row r="139" ht="26.25" customHeight="1">
      <c r="A139" s="59" t="s">
        <v>57</v>
      </c>
      <c r="B139" s="15"/>
      <c r="C139" s="15"/>
      <c r="D139" s="60">
        <v>11.3</v>
      </c>
      <c r="E139" s="58">
        <f t="shared" ref="E139:E142" si="18">B139*D139</f>
        <v>0</v>
      </c>
    </row>
    <row r="140" ht="26.25" customHeight="1">
      <c r="A140" s="26" t="s">
        <v>130</v>
      </c>
      <c r="B140" s="15"/>
      <c r="C140" s="15"/>
      <c r="D140" s="60">
        <v>12.0</v>
      </c>
      <c r="E140" s="58">
        <f t="shared" si="18"/>
        <v>0</v>
      </c>
    </row>
    <row r="141" ht="26.25" customHeight="1">
      <c r="A141" s="26" t="s">
        <v>63</v>
      </c>
      <c r="B141" s="27"/>
      <c r="C141" s="28"/>
      <c r="D141" s="12">
        <v>34.2</v>
      </c>
      <c r="E141" s="58">
        <f t="shared" si="18"/>
        <v>0</v>
      </c>
    </row>
    <row r="142" ht="26.25" customHeight="1">
      <c r="A142" s="26" t="s">
        <v>131</v>
      </c>
      <c r="B142" s="27"/>
      <c r="C142" s="28"/>
      <c r="D142" s="12">
        <v>87.4</v>
      </c>
      <c r="E142" s="58">
        <f t="shared" si="18"/>
        <v>0</v>
      </c>
    </row>
    <row r="143" ht="26.25" customHeight="1">
      <c r="A143" s="54" t="s">
        <v>64</v>
      </c>
      <c r="B143" s="31"/>
      <c r="C143" s="31"/>
      <c r="D143" s="31"/>
      <c r="E143" s="32"/>
    </row>
    <row r="144" ht="26.25" customHeight="1">
      <c r="A144" s="70" t="s">
        <v>132</v>
      </c>
      <c r="B144" s="28"/>
      <c r="C144" s="28"/>
      <c r="D144" s="12">
        <v>12.66</v>
      </c>
      <c r="E144" s="61">
        <f t="shared" ref="E144:E151" si="19">B144*D144</f>
        <v>0</v>
      </c>
    </row>
    <row r="145" ht="26.25" customHeight="1">
      <c r="A145" s="70" t="s">
        <v>71</v>
      </c>
      <c r="B145" s="28"/>
      <c r="C145" s="28"/>
      <c r="D145" s="12">
        <v>14.0</v>
      </c>
      <c r="E145" s="61">
        <f t="shared" si="19"/>
        <v>0</v>
      </c>
    </row>
    <row r="146" ht="26.25" customHeight="1">
      <c r="A146" s="70" t="s">
        <v>133</v>
      </c>
      <c r="B146" s="27"/>
      <c r="C146" s="28"/>
      <c r="D146" s="12">
        <v>23.5</v>
      </c>
      <c r="E146" s="61">
        <f t="shared" si="19"/>
        <v>0</v>
      </c>
    </row>
    <row r="147" ht="26.25" customHeight="1">
      <c r="A147" s="70" t="s">
        <v>134</v>
      </c>
      <c r="B147" s="27"/>
      <c r="C147" s="28"/>
      <c r="D147" s="12">
        <v>34.7</v>
      </c>
      <c r="E147" s="61">
        <f t="shared" si="19"/>
        <v>0</v>
      </c>
    </row>
    <row r="148" ht="26.25" customHeight="1">
      <c r="A148" s="70" t="s">
        <v>135</v>
      </c>
      <c r="B148" s="27"/>
      <c r="C148" s="71"/>
      <c r="D148" s="12">
        <v>37.7</v>
      </c>
      <c r="E148" s="61">
        <f t="shared" si="19"/>
        <v>0</v>
      </c>
    </row>
    <row r="149" ht="26.25" customHeight="1">
      <c r="A149" s="26" t="s">
        <v>73</v>
      </c>
      <c r="B149" s="27"/>
      <c r="C149" s="71"/>
      <c r="D149" s="12">
        <v>22.8</v>
      </c>
      <c r="E149" s="61">
        <f t="shared" si="19"/>
        <v>0</v>
      </c>
    </row>
    <row r="150" ht="26.25" customHeight="1">
      <c r="A150" s="26" t="s">
        <v>76</v>
      </c>
      <c r="B150" s="28"/>
      <c r="C150" s="71"/>
      <c r="D150" s="12">
        <v>27.75</v>
      </c>
      <c r="E150" s="61">
        <f t="shared" si="19"/>
        <v>0</v>
      </c>
    </row>
    <row r="151" ht="26.25" customHeight="1">
      <c r="A151" s="26" t="s">
        <v>86</v>
      </c>
      <c r="B151" s="27"/>
      <c r="C151" s="71"/>
      <c r="D151" s="12">
        <v>16.66</v>
      </c>
      <c r="E151" s="61">
        <f t="shared" si="19"/>
        <v>0</v>
      </c>
    </row>
    <row r="152" ht="26.25" customHeight="1">
      <c r="A152" s="46" t="s">
        <v>95</v>
      </c>
      <c r="B152" s="31"/>
      <c r="C152" s="31"/>
      <c r="D152" s="32"/>
      <c r="E152" s="66">
        <f>SUM(E125:E151)</f>
        <v>0</v>
      </c>
    </row>
    <row r="153" ht="26.25" customHeight="1">
      <c r="A153" s="49" t="s">
        <v>96</v>
      </c>
      <c r="B153" s="31"/>
      <c r="C153" s="31"/>
      <c r="D153" s="32"/>
      <c r="E153" s="50">
        <f>E152*22%</f>
        <v>0</v>
      </c>
    </row>
    <row r="154" ht="33.75" customHeight="1">
      <c r="A154" s="51" t="s">
        <v>97</v>
      </c>
      <c r="B154" s="31"/>
      <c r="C154" s="31"/>
      <c r="D154" s="31"/>
      <c r="E154" s="67">
        <f>SUM(E152:E153)</f>
        <v>0</v>
      </c>
    </row>
    <row r="155" ht="26.25" customHeight="1"/>
    <row r="156" ht="26.25" customHeight="1"/>
    <row r="157" ht="30.0" customHeight="1">
      <c r="A157" s="72" t="s">
        <v>136</v>
      </c>
      <c r="F157" s="48"/>
    </row>
    <row r="158" ht="30.0" customHeight="1">
      <c r="A158" s="35" t="s">
        <v>56</v>
      </c>
      <c r="B158" s="2"/>
      <c r="C158" s="2"/>
      <c r="D158" s="2"/>
      <c r="E158" s="3"/>
      <c r="F158" s="48"/>
    </row>
    <row r="159" ht="30.0" customHeight="1">
      <c r="A159" s="70" t="s">
        <v>137</v>
      </c>
      <c r="B159" s="27"/>
      <c r="C159" s="28"/>
      <c r="D159" s="12">
        <v>10.77</v>
      </c>
      <c r="E159" s="61">
        <f t="shared" ref="E159:E162" si="20">B159*D159</f>
        <v>0</v>
      </c>
      <c r="F159" s="48"/>
    </row>
    <row r="160" ht="30.0" customHeight="1">
      <c r="A160" s="73" t="s">
        <v>138</v>
      </c>
      <c r="B160" s="74"/>
      <c r="C160" s="75"/>
      <c r="D160" s="12">
        <v>30.94</v>
      </c>
      <c r="E160" s="61">
        <f t="shared" si="20"/>
        <v>0</v>
      </c>
      <c r="F160" s="48"/>
    </row>
    <row r="161" ht="30.0" customHeight="1">
      <c r="A161" s="76" t="s">
        <v>139</v>
      </c>
      <c r="B161" s="74"/>
      <c r="C161" s="74"/>
      <c r="D161" s="12">
        <v>65.5</v>
      </c>
      <c r="E161" s="61">
        <f t="shared" si="20"/>
        <v>0</v>
      </c>
      <c r="F161" s="48"/>
    </row>
    <row r="162" ht="30.0" customHeight="1">
      <c r="A162" s="77" t="s">
        <v>140</v>
      </c>
      <c r="B162" s="78"/>
      <c r="C162" s="74"/>
      <c r="D162" s="79">
        <v>134.0</v>
      </c>
      <c r="E162" s="61">
        <f t="shared" si="20"/>
        <v>0</v>
      </c>
      <c r="F162" s="48"/>
    </row>
    <row r="163" ht="30.0" customHeight="1">
      <c r="A163" s="38" t="s">
        <v>64</v>
      </c>
      <c r="E163" s="39"/>
      <c r="F163" s="48"/>
    </row>
    <row r="164" ht="30.0" customHeight="1">
      <c r="A164" s="26" t="s">
        <v>141</v>
      </c>
      <c r="B164" s="27"/>
      <c r="C164" s="28"/>
      <c r="D164" s="12">
        <v>9.29</v>
      </c>
      <c r="E164" s="61">
        <f>B164*D164</f>
        <v>0</v>
      </c>
      <c r="F164" s="48"/>
    </row>
    <row r="165" ht="30.0" customHeight="1">
      <c r="A165" s="54" t="s">
        <v>115</v>
      </c>
      <c r="B165" s="31"/>
      <c r="C165" s="31"/>
      <c r="D165" s="31"/>
      <c r="E165" s="32"/>
      <c r="F165" s="48"/>
    </row>
    <row r="166" ht="30.0" customHeight="1">
      <c r="A166" s="26" t="s">
        <v>142</v>
      </c>
      <c r="B166" s="27">
        <v>6.0</v>
      </c>
      <c r="C166" s="27">
        <v>1.0</v>
      </c>
      <c r="D166" s="12">
        <v>10.7</v>
      </c>
      <c r="E166" s="61">
        <f t="shared" ref="E166:E168" si="21">B166*D166</f>
        <v>64.2</v>
      </c>
      <c r="F166" s="48"/>
    </row>
    <row r="167" ht="30.0" customHeight="1">
      <c r="A167" s="26" t="s">
        <v>86</v>
      </c>
      <c r="B167" s="27">
        <v>6.0</v>
      </c>
      <c r="C167" s="27">
        <v>1.0</v>
      </c>
      <c r="D167" s="12">
        <v>14.96</v>
      </c>
      <c r="E167" s="61">
        <f t="shared" si="21"/>
        <v>89.76</v>
      </c>
      <c r="F167" s="48"/>
    </row>
    <row r="168" ht="30.0" customHeight="1">
      <c r="A168" s="26" t="s">
        <v>119</v>
      </c>
      <c r="B168" s="27"/>
      <c r="C168" s="28"/>
      <c r="D168" s="12">
        <v>15.64</v>
      </c>
      <c r="E168" s="61">
        <f t="shared" si="21"/>
        <v>0</v>
      </c>
      <c r="F168" s="48"/>
    </row>
    <row r="169" ht="30.0" customHeight="1">
      <c r="A169" s="68" t="s">
        <v>77</v>
      </c>
      <c r="B169" s="31"/>
      <c r="C169" s="31"/>
      <c r="D169" s="31"/>
      <c r="E169" s="32"/>
      <c r="F169" s="48"/>
    </row>
    <row r="170" ht="30.0" customHeight="1">
      <c r="A170" s="26" t="s">
        <v>143</v>
      </c>
      <c r="B170" s="27"/>
      <c r="C170" s="28"/>
      <c r="D170" s="12">
        <v>16.06</v>
      </c>
      <c r="E170" s="61">
        <f t="shared" ref="E170:E174" si="22">B170*D170</f>
        <v>0</v>
      </c>
      <c r="F170" s="48"/>
    </row>
    <row r="171" ht="30.0" customHeight="1">
      <c r="A171" s="26" t="s">
        <v>144</v>
      </c>
      <c r="B171" s="28"/>
      <c r="C171" s="28"/>
      <c r="D171" s="12">
        <v>10.08</v>
      </c>
      <c r="E171" s="61">
        <f t="shared" si="22"/>
        <v>0</v>
      </c>
      <c r="F171" s="48"/>
    </row>
    <row r="172" ht="30.0" customHeight="1">
      <c r="A172" s="26" t="s">
        <v>145</v>
      </c>
      <c r="B172" s="27">
        <v>6.0</v>
      </c>
      <c r="C172" s="27">
        <v>1.0</v>
      </c>
      <c r="D172" s="12">
        <v>18.5</v>
      </c>
      <c r="E172" s="61">
        <f t="shared" si="22"/>
        <v>111</v>
      </c>
      <c r="F172" s="48"/>
    </row>
    <row r="173" ht="30.0" customHeight="1">
      <c r="A173" s="26" t="s">
        <v>146</v>
      </c>
      <c r="B173" s="27"/>
      <c r="C173" s="28"/>
      <c r="D173" s="12">
        <v>10.95</v>
      </c>
      <c r="E173" s="61">
        <f t="shared" si="22"/>
        <v>0</v>
      </c>
      <c r="F173" s="48"/>
    </row>
    <row r="174" ht="30.0" customHeight="1">
      <c r="A174" s="26" t="s">
        <v>147</v>
      </c>
      <c r="B174" s="27"/>
      <c r="C174" s="28"/>
      <c r="D174" s="12">
        <v>13.31</v>
      </c>
      <c r="E174" s="61">
        <f t="shared" si="22"/>
        <v>0</v>
      </c>
      <c r="F174" s="48"/>
    </row>
    <row r="175" ht="30.0" customHeight="1">
      <c r="A175" s="46" t="s">
        <v>95</v>
      </c>
      <c r="B175" s="31"/>
      <c r="C175" s="31"/>
      <c r="D175" s="32"/>
      <c r="E175" s="66">
        <f>SUM(E159:E174)</f>
        <v>264.96</v>
      </c>
      <c r="F175" s="48"/>
    </row>
    <row r="176" ht="30.0" customHeight="1">
      <c r="A176" s="49" t="s">
        <v>96</v>
      </c>
      <c r="B176" s="31"/>
      <c r="C176" s="31"/>
      <c r="D176" s="32"/>
      <c r="E176" s="50">
        <f>E175*22%</f>
        <v>58.2912</v>
      </c>
      <c r="F176" s="48"/>
    </row>
    <row r="177" ht="30.0" customHeight="1">
      <c r="A177" s="51" t="s">
        <v>97</v>
      </c>
      <c r="B177" s="31"/>
      <c r="C177" s="31"/>
      <c r="D177" s="31"/>
      <c r="E177" s="67">
        <f>SUM(E175:E176)</f>
        <v>323.2512</v>
      </c>
      <c r="F177" s="48"/>
    </row>
    <row r="178" ht="26.25" customHeight="1">
      <c r="A178" s="80"/>
      <c r="F178" s="48"/>
    </row>
    <row r="179" ht="26.25" customHeight="1">
      <c r="F179" s="48"/>
    </row>
    <row r="180" ht="30.0" customHeight="1">
      <c r="A180" s="53" t="s">
        <v>148</v>
      </c>
      <c r="B180" s="31"/>
      <c r="C180" s="31"/>
      <c r="D180" s="31"/>
      <c r="E180" s="32"/>
      <c r="F180" s="48"/>
    </row>
    <row r="181" ht="26.25" customHeight="1">
      <c r="A181" s="81" t="s">
        <v>149</v>
      </c>
      <c r="B181" s="31"/>
      <c r="C181" s="31"/>
      <c r="D181" s="31"/>
      <c r="E181" s="32"/>
      <c r="F181" s="48"/>
    </row>
    <row r="182" ht="26.25" customHeight="1">
      <c r="A182" s="59" t="s">
        <v>86</v>
      </c>
      <c r="B182" s="56"/>
      <c r="C182" s="56"/>
      <c r="D182" s="82">
        <v>16.0</v>
      </c>
      <c r="E182" s="58">
        <f t="shared" ref="E182:E190" si="23">B182*D182</f>
        <v>0</v>
      </c>
    </row>
    <row r="183" ht="26.25" customHeight="1">
      <c r="A183" s="55" t="s">
        <v>150</v>
      </c>
      <c r="B183" s="56"/>
      <c r="C183" s="56"/>
      <c r="D183" s="82">
        <v>13.0</v>
      </c>
      <c r="E183" s="58">
        <f t="shared" si="23"/>
        <v>0</v>
      </c>
    </row>
    <row r="184" ht="26.25" customHeight="1">
      <c r="A184" s="55" t="s">
        <v>151</v>
      </c>
      <c r="B184" s="15"/>
      <c r="C184" s="15"/>
      <c r="D184" s="82">
        <v>21.0</v>
      </c>
      <c r="E184" s="58">
        <f t="shared" si="23"/>
        <v>0</v>
      </c>
    </row>
    <row r="185" ht="26.25" customHeight="1">
      <c r="A185" s="55" t="s">
        <v>152</v>
      </c>
      <c r="B185" s="15"/>
      <c r="C185" s="15"/>
      <c r="D185" s="82">
        <v>9.0</v>
      </c>
      <c r="E185" s="61">
        <f t="shared" si="23"/>
        <v>0</v>
      </c>
    </row>
    <row r="186" ht="26.25" customHeight="1">
      <c r="A186" s="55" t="s">
        <v>153</v>
      </c>
      <c r="B186" s="15"/>
      <c r="C186" s="15"/>
      <c r="D186" s="82">
        <v>1.0</v>
      </c>
      <c r="E186" s="61">
        <f t="shared" si="23"/>
        <v>0</v>
      </c>
    </row>
    <row r="187" ht="26.25" customHeight="1">
      <c r="A187" s="55" t="s">
        <v>154</v>
      </c>
      <c r="B187" s="15"/>
      <c r="C187" s="15"/>
      <c r="D187" s="82">
        <v>1.0</v>
      </c>
      <c r="E187" s="61">
        <f t="shared" si="23"/>
        <v>0</v>
      </c>
    </row>
    <row r="188" ht="26.25" customHeight="1">
      <c r="A188" s="55" t="s">
        <v>155</v>
      </c>
      <c r="B188" s="15"/>
      <c r="C188" s="15"/>
      <c r="D188" s="82">
        <v>1.0</v>
      </c>
      <c r="E188" s="61">
        <f t="shared" si="23"/>
        <v>0</v>
      </c>
    </row>
    <row r="189" ht="26.25" customHeight="1">
      <c r="A189" s="55" t="s">
        <v>156</v>
      </c>
      <c r="B189" s="15"/>
      <c r="C189" s="15"/>
      <c r="D189" s="82">
        <v>2.0</v>
      </c>
      <c r="E189" s="61">
        <f t="shared" si="23"/>
        <v>0</v>
      </c>
    </row>
    <row r="190" ht="26.25" customHeight="1">
      <c r="A190" s="55" t="s">
        <v>157</v>
      </c>
      <c r="B190" s="15"/>
      <c r="C190" s="15"/>
      <c r="D190" s="82">
        <v>9.0</v>
      </c>
      <c r="E190" s="61">
        <f t="shared" si="23"/>
        <v>0</v>
      </c>
    </row>
    <row r="191" ht="26.25" customHeight="1">
      <c r="A191" s="46" t="s">
        <v>95</v>
      </c>
      <c r="B191" s="31"/>
      <c r="C191" s="31"/>
      <c r="D191" s="32"/>
      <c r="E191" s="66">
        <f>SUM(E182:E190)</f>
        <v>0</v>
      </c>
    </row>
    <row r="192" ht="26.25" customHeight="1">
      <c r="A192" s="49" t="s">
        <v>96</v>
      </c>
      <c r="B192" s="31"/>
      <c r="C192" s="31"/>
      <c r="D192" s="32"/>
      <c r="E192" s="50">
        <f>E191*22%</f>
        <v>0</v>
      </c>
    </row>
    <row r="193" ht="33.75" customHeight="1">
      <c r="A193" s="51" t="s">
        <v>97</v>
      </c>
      <c r="B193" s="31"/>
      <c r="C193" s="31"/>
      <c r="D193" s="31"/>
      <c r="E193" s="67">
        <f>SUM(E191:E192)</f>
        <v>0</v>
      </c>
    </row>
    <row r="196" ht="33.75" customHeight="1">
      <c r="A196" s="83" t="s">
        <v>158</v>
      </c>
      <c r="B196" s="31"/>
      <c r="C196" s="31"/>
      <c r="D196" s="31"/>
      <c r="E196" s="67">
        <f>E79+E120+E154+E177+E193</f>
        <v>1824.7784</v>
      </c>
    </row>
  </sheetData>
  <mergeCells count="51">
    <mergeCell ref="A1:E1"/>
    <mergeCell ref="A3:E3"/>
    <mergeCell ref="A26:E26"/>
    <mergeCell ref="A32:E32"/>
    <mergeCell ref="A39:E39"/>
    <mergeCell ref="A46:E46"/>
    <mergeCell ref="A59:E59"/>
    <mergeCell ref="A71:E71"/>
    <mergeCell ref="A74:E74"/>
    <mergeCell ref="A77:D77"/>
    <mergeCell ref="A78:D78"/>
    <mergeCell ref="A79:D79"/>
    <mergeCell ref="A80:E81"/>
    <mergeCell ref="A82:E82"/>
    <mergeCell ref="A83:E83"/>
    <mergeCell ref="A93:E93"/>
    <mergeCell ref="A97:E97"/>
    <mergeCell ref="A100:E100"/>
    <mergeCell ref="A103:E103"/>
    <mergeCell ref="A109:E109"/>
    <mergeCell ref="A113:E113"/>
    <mergeCell ref="A115:E115"/>
    <mergeCell ref="A118:D118"/>
    <mergeCell ref="A119:D119"/>
    <mergeCell ref="A120:D120"/>
    <mergeCell ref="A121:E122"/>
    <mergeCell ref="A123:E123"/>
    <mergeCell ref="A124:E124"/>
    <mergeCell ref="A130:E130"/>
    <mergeCell ref="A136:E136"/>
    <mergeCell ref="A138:E138"/>
    <mergeCell ref="A143:E143"/>
    <mergeCell ref="A152:D152"/>
    <mergeCell ref="A153:D153"/>
    <mergeCell ref="A154:D154"/>
    <mergeCell ref="A155:E156"/>
    <mergeCell ref="A157:E157"/>
    <mergeCell ref="A158:E158"/>
    <mergeCell ref="A163:E163"/>
    <mergeCell ref="A165:E165"/>
    <mergeCell ref="A169:E169"/>
    <mergeCell ref="A175:D175"/>
    <mergeCell ref="A193:D193"/>
    <mergeCell ref="A196:D196"/>
    <mergeCell ref="A176:D176"/>
    <mergeCell ref="A177:D177"/>
    <mergeCell ref="A178:E179"/>
    <mergeCell ref="A180:E180"/>
    <mergeCell ref="A181:E181"/>
    <mergeCell ref="A191:D191"/>
    <mergeCell ref="A192:D19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0.13"/>
    <col customWidth="1" min="2" max="3" width="22.13"/>
  </cols>
  <sheetData>
    <row r="1" ht="30.0" customHeight="1">
      <c r="A1" s="1" t="s">
        <v>160</v>
      </c>
      <c r="B1" s="2"/>
      <c r="C1" s="3"/>
    </row>
    <row r="2" ht="30.0" customHeight="1">
      <c r="A2" s="4" t="s">
        <v>1</v>
      </c>
      <c r="B2" s="5" t="s">
        <v>2</v>
      </c>
      <c r="C2" s="5" t="s">
        <v>3</v>
      </c>
    </row>
    <row r="3" ht="26.25" customHeight="1">
      <c r="A3" s="6" t="s">
        <v>6</v>
      </c>
      <c r="B3" s="7"/>
      <c r="C3" s="8"/>
    </row>
    <row r="4" ht="26.25" customHeight="1">
      <c r="A4" s="9" t="s">
        <v>7</v>
      </c>
      <c r="B4" s="84" t="s">
        <v>8</v>
      </c>
      <c r="C4" s="11"/>
    </row>
    <row r="5" ht="26.25" customHeight="1">
      <c r="A5" s="9" t="s">
        <v>9</v>
      </c>
      <c r="B5" s="84" t="s">
        <v>10</v>
      </c>
      <c r="C5" s="11"/>
    </row>
    <row r="6" ht="26.25" customHeight="1">
      <c r="A6" s="9" t="s">
        <v>11</v>
      </c>
      <c r="B6" s="84" t="s">
        <v>10</v>
      </c>
      <c r="C6" s="11"/>
    </row>
    <row r="7" ht="26.25" customHeight="1">
      <c r="A7" s="9" t="s">
        <v>12</v>
      </c>
      <c r="B7" s="84" t="s">
        <v>8</v>
      </c>
      <c r="C7" s="11"/>
    </row>
    <row r="8" ht="26.25" customHeight="1">
      <c r="A8" s="9" t="s">
        <v>21</v>
      </c>
      <c r="B8" s="84"/>
      <c r="C8" s="14" t="s">
        <v>29</v>
      </c>
    </row>
    <row r="9" ht="26.25" customHeight="1">
      <c r="A9" s="9" t="s">
        <v>22</v>
      </c>
      <c r="B9" s="84"/>
      <c r="C9" s="14" t="s">
        <v>8</v>
      </c>
    </row>
    <row r="10" ht="26.25" customHeight="1">
      <c r="A10" s="9" t="s">
        <v>24</v>
      </c>
      <c r="B10" s="84"/>
      <c r="C10" s="14" t="s">
        <v>42</v>
      </c>
    </row>
    <row r="11" ht="26.25" customHeight="1">
      <c r="A11" s="9" t="s">
        <v>27</v>
      </c>
      <c r="B11" s="84"/>
      <c r="C11" s="14" t="s">
        <v>42</v>
      </c>
    </row>
    <row r="12" ht="26.25" customHeight="1">
      <c r="A12" s="9" t="s">
        <v>33</v>
      </c>
      <c r="B12" s="15"/>
      <c r="C12" s="15">
        <v>2.0</v>
      </c>
    </row>
    <row r="13" ht="26.25" customHeight="1">
      <c r="A13" s="17" t="s">
        <v>40</v>
      </c>
      <c r="B13" s="37"/>
      <c r="C13" s="19" t="s">
        <v>10</v>
      </c>
    </row>
    <row r="14" ht="26.25" customHeight="1">
      <c r="A14" s="26" t="s">
        <v>57</v>
      </c>
      <c r="B14" s="84"/>
      <c r="C14" s="14" t="s">
        <v>13</v>
      </c>
    </row>
    <row r="15" ht="26.25" customHeight="1">
      <c r="A15" s="26" t="s">
        <v>60</v>
      </c>
      <c r="B15" s="84" t="s">
        <v>10</v>
      </c>
      <c r="C15" s="11"/>
    </row>
    <row r="16" ht="26.25" customHeight="1">
      <c r="A16" s="26" t="s">
        <v>62</v>
      </c>
      <c r="B16" s="37" t="s">
        <v>10</v>
      </c>
      <c r="C16" s="24"/>
    </row>
    <row r="17" ht="26.25" customHeight="1">
      <c r="A17" s="38" t="s">
        <v>64</v>
      </c>
      <c r="C17" s="39"/>
    </row>
    <row r="18" ht="26.25" customHeight="1">
      <c r="A18" s="26" t="s">
        <v>68</v>
      </c>
      <c r="B18" s="84"/>
      <c r="C18" s="14" t="s">
        <v>10</v>
      </c>
    </row>
    <row r="19" ht="26.25" customHeight="1">
      <c r="A19" s="40" t="s">
        <v>77</v>
      </c>
      <c r="C19" s="39"/>
    </row>
    <row r="20" ht="26.25" customHeight="1">
      <c r="A20" s="26" t="s">
        <v>78</v>
      </c>
      <c r="B20" s="15"/>
      <c r="C20" s="15">
        <v>1.0</v>
      </c>
    </row>
    <row r="21" ht="26.25" customHeight="1">
      <c r="A21" s="26" t="s">
        <v>80</v>
      </c>
      <c r="B21" s="15">
        <v>2.0</v>
      </c>
      <c r="C21" s="11"/>
    </row>
    <row r="22" ht="26.25" customHeight="1">
      <c r="A22" s="26" t="s">
        <v>81</v>
      </c>
      <c r="B22" s="84" t="s">
        <v>8</v>
      </c>
      <c r="C22" s="11"/>
    </row>
    <row r="23" ht="26.25" customHeight="1">
      <c r="A23" s="26" t="s">
        <v>82</v>
      </c>
      <c r="B23" s="84"/>
      <c r="C23" s="14" t="s">
        <v>10</v>
      </c>
    </row>
    <row r="24" ht="26.25" customHeight="1">
      <c r="A24" s="26" t="s">
        <v>88</v>
      </c>
      <c r="B24" s="27">
        <v>1.0</v>
      </c>
      <c r="C24" s="28"/>
    </row>
    <row r="25" ht="26.25" customHeight="1">
      <c r="A25" s="40" t="s">
        <v>92</v>
      </c>
      <c r="C25" s="39"/>
    </row>
    <row r="26" ht="30.0" customHeight="1">
      <c r="A26" s="41" t="s">
        <v>93</v>
      </c>
      <c r="B26" s="15">
        <v>2.0</v>
      </c>
      <c r="C26" s="45"/>
    </row>
  </sheetData>
  <mergeCells count="5">
    <mergeCell ref="A1:C1"/>
    <mergeCell ref="A3:C3"/>
    <mergeCell ref="A17:C17"/>
    <mergeCell ref="A19:C19"/>
    <mergeCell ref="A25:C25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0.13"/>
    <col customWidth="1" min="2" max="3" width="22.13"/>
    <col customWidth="1" min="4" max="4" width="18.88"/>
    <col customWidth="1" min="5" max="5" width="16.38"/>
  </cols>
  <sheetData>
    <row r="1" ht="30.0" customHeight="1">
      <c r="A1" s="1" t="s">
        <v>0</v>
      </c>
      <c r="B1" s="2"/>
      <c r="C1" s="2"/>
      <c r="D1" s="2"/>
      <c r="E1" s="3"/>
    </row>
    <row r="2" ht="30.0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ht="26.25" customHeight="1">
      <c r="A3" s="6" t="s">
        <v>6</v>
      </c>
      <c r="B3" s="7"/>
      <c r="C3" s="7"/>
      <c r="D3" s="7"/>
      <c r="E3" s="8"/>
    </row>
    <row r="4" ht="26.25" customHeight="1">
      <c r="A4" s="9" t="s">
        <v>7</v>
      </c>
      <c r="B4" s="10" t="s">
        <v>8</v>
      </c>
      <c r="C4" s="11"/>
      <c r="D4" s="12">
        <v>12.8</v>
      </c>
      <c r="E4" s="13">
        <f t="shared" ref="E4:E25" si="1">B4*D4</f>
        <v>25.6</v>
      </c>
    </row>
    <row r="5" ht="26.25" customHeight="1">
      <c r="A5" s="9" t="s">
        <v>9</v>
      </c>
      <c r="B5" s="10" t="s">
        <v>10</v>
      </c>
      <c r="C5" s="11"/>
      <c r="D5" s="12">
        <v>11.7</v>
      </c>
      <c r="E5" s="13">
        <f t="shared" si="1"/>
        <v>11.7</v>
      </c>
    </row>
    <row r="6" ht="26.25" customHeight="1">
      <c r="A6" s="9" t="s">
        <v>11</v>
      </c>
      <c r="B6" s="10" t="s">
        <v>10</v>
      </c>
      <c r="C6" s="11"/>
      <c r="D6" s="12">
        <v>8.64</v>
      </c>
      <c r="E6" s="13">
        <f t="shared" si="1"/>
        <v>8.64</v>
      </c>
    </row>
    <row r="7" ht="26.25" customHeight="1">
      <c r="A7" s="9" t="s">
        <v>12</v>
      </c>
      <c r="B7" s="10" t="s">
        <v>13</v>
      </c>
      <c r="C7" s="11"/>
      <c r="D7" s="12">
        <v>6.21</v>
      </c>
      <c r="E7" s="13">
        <f t="shared" si="1"/>
        <v>18.63</v>
      </c>
    </row>
    <row r="8" ht="26.25" customHeight="1">
      <c r="A8" s="9" t="s">
        <v>14</v>
      </c>
      <c r="B8" s="14" t="s">
        <v>15</v>
      </c>
      <c r="C8" s="11"/>
      <c r="D8" s="12">
        <v>4.41</v>
      </c>
      <c r="E8" s="13">
        <f t="shared" si="1"/>
        <v>0</v>
      </c>
    </row>
    <row r="9" ht="26.25" customHeight="1">
      <c r="A9" s="9" t="s">
        <v>16</v>
      </c>
      <c r="B9" s="10"/>
      <c r="C9" s="14" t="s">
        <v>18</v>
      </c>
      <c r="D9" s="12">
        <v>0.18</v>
      </c>
      <c r="E9" s="13">
        <f t="shared" si="1"/>
        <v>0</v>
      </c>
    </row>
    <row r="10" ht="26.25" customHeight="1">
      <c r="A10" s="9" t="s">
        <v>19</v>
      </c>
      <c r="B10" s="10"/>
      <c r="C10" s="14" t="s">
        <v>8</v>
      </c>
      <c r="D10" s="12">
        <v>0.18</v>
      </c>
      <c r="E10" s="13">
        <f t="shared" si="1"/>
        <v>0</v>
      </c>
    </row>
    <row r="11" ht="26.25" customHeight="1">
      <c r="A11" s="9" t="s">
        <v>21</v>
      </c>
      <c r="B11" s="10"/>
      <c r="C11" s="14" t="s">
        <v>18</v>
      </c>
      <c r="D11" s="12">
        <v>1.05</v>
      </c>
      <c r="E11" s="13">
        <f t="shared" si="1"/>
        <v>0</v>
      </c>
    </row>
    <row r="12" ht="26.25" customHeight="1">
      <c r="A12" s="9" t="s">
        <v>22</v>
      </c>
      <c r="B12" s="10"/>
      <c r="C12" s="14" t="s">
        <v>8</v>
      </c>
      <c r="D12" s="12">
        <v>1.18</v>
      </c>
      <c r="E12" s="13">
        <f t="shared" si="1"/>
        <v>0</v>
      </c>
    </row>
    <row r="13" ht="26.25" customHeight="1">
      <c r="A13" s="9" t="s">
        <v>23</v>
      </c>
      <c r="B13" s="10"/>
      <c r="C13" s="14" t="s">
        <v>8</v>
      </c>
      <c r="D13" s="12">
        <v>1.18</v>
      </c>
      <c r="E13" s="13">
        <f t="shared" si="1"/>
        <v>0</v>
      </c>
    </row>
    <row r="14" ht="26.25" customHeight="1">
      <c r="A14" s="9" t="s">
        <v>24</v>
      </c>
      <c r="B14" s="10"/>
      <c r="C14" s="14" t="s">
        <v>26</v>
      </c>
      <c r="D14" s="12">
        <v>0.98</v>
      </c>
      <c r="E14" s="13">
        <f t="shared" si="1"/>
        <v>0</v>
      </c>
    </row>
    <row r="15" ht="26.25" customHeight="1">
      <c r="A15" s="9" t="s">
        <v>27</v>
      </c>
      <c r="B15" s="10"/>
      <c r="C15" s="14" t="s">
        <v>29</v>
      </c>
      <c r="D15" s="12">
        <v>0.98</v>
      </c>
      <c r="E15" s="13">
        <f t="shared" si="1"/>
        <v>0</v>
      </c>
    </row>
    <row r="16" ht="26.25" customHeight="1">
      <c r="A16" s="9" t="s">
        <v>30</v>
      </c>
      <c r="B16" s="15"/>
      <c r="C16" s="16"/>
      <c r="D16" s="12">
        <v>0.81</v>
      </c>
      <c r="E16" s="13">
        <f t="shared" si="1"/>
        <v>0</v>
      </c>
    </row>
    <row r="17" ht="26.25" customHeight="1">
      <c r="A17" s="9" t="s">
        <v>31</v>
      </c>
      <c r="B17" s="15"/>
      <c r="C17" s="16"/>
      <c r="D17" s="12">
        <v>0.81</v>
      </c>
      <c r="E17" s="13">
        <f t="shared" si="1"/>
        <v>0</v>
      </c>
    </row>
    <row r="18" ht="26.25" customHeight="1">
      <c r="A18" s="9" t="s">
        <v>32</v>
      </c>
      <c r="B18" s="14"/>
      <c r="C18" s="11"/>
      <c r="D18" s="12">
        <v>1.78</v>
      </c>
      <c r="E18" s="13">
        <f t="shared" si="1"/>
        <v>0</v>
      </c>
    </row>
    <row r="19" ht="26.25" customHeight="1">
      <c r="A19" s="9" t="s">
        <v>33</v>
      </c>
      <c r="B19" s="15"/>
      <c r="C19" s="15">
        <v>2.0</v>
      </c>
      <c r="D19" s="12">
        <v>0.68</v>
      </c>
      <c r="E19" s="13">
        <f t="shared" si="1"/>
        <v>0</v>
      </c>
    </row>
    <row r="20" ht="26.25" customHeight="1">
      <c r="A20" s="9" t="s">
        <v>34</v>
      </c>
      <c r="B20" s="15"/>
      <c r="C20" s="16"/>
      <c r="D20" s="12">
        <v>0.68</v>
      </c>
      <c r="E20" s="13">
        <f t="shared" si="1"/>
        <v>0</v>
      </c>
    </row>
    <row r="21" ht="26.25" customHeight="1">
      <c r="A21" s="9" t="s">
        <v>35</v>
      </c>
      <c r="B21" s="15"/>
      <c r="C21" s="16"/>
      <c r="D21" s="12">
        <v>0.58</v>
      </c>
      <c r="E21" s="13">
        <f t="shared" si="1"/>
        <v>0</v>
      </c>
    </row>
    <row r="22" ht="26.25" customHeight="1">
      <c r="A22" s="9" t="s">
        <v>36</v>
      </c>
      <c r="B22" s="14"/>
      <c r="C22" s="11"/>
      <c r="D22" s="12">
        <v>1.17</v>
      </c>
      <c r="E22" s="13">
        <f t="shared" si="1"/>
        <v>0</v>
      </c>
    </row>
    <row r="23" ht="26.25" customHeight="1">
      <c r="A23" s="9" t="s">
        <v>37</v>
      </c>
      <c r="B23" s="14"/>
      <c r="C23" s="11"/>
      <c r="D23" s="12">
        <v>1.17</v>
      </c>
      <c r="E23" s="13">
        <f t="shared" si="1"/>
        <v>0</v>
      </c>
    </row>
    <row r="24" ht="26.25" customHeight="1">
      <c r="A24" s="9" t="s">
        <v>38</v>
      </c>
      <c r="B24" s="10"/>
      <c r="C24" s="14" t="s">
        <v>13</v>
      </c>
      <c r="D24" s="12">
        <v>2.13</v>
      </c>
      <c r="E24" s="13">
        <f t="shared" si="1"/>
        <v>0</v>
      </c>
    </row>
    <row r="25" ht="26.25" customHeight="1">
      <c r="A25" s="17" t="s">
        <v>40</v>
      </c>
      <c r="B25" s="18"/>
      <c r="C25" s="19" t="s">
        <v>42</v>
      </c>
      <c r="D25" s="12">
        <v>1.9</v>
      </c>
      <c r="E25" s="13">
        <f t="shared" si="1"/>
        <v>0</v>
      </c>
    </row>
    <row r="26" ht="26.25" customHeight="1">
      <c r="A26" s="20" t="s">
        <v>43</v>
      </c>
      <c r="B26" s="21"/>
      <c r="C26" s="21"/>
      <c r="D26" s="21"/>
      <c r="E26" s="22"/>
    </row>
    <row r="27" ht="26.25" customHeight="1">
      <c r="A27" s="23" t="s">
        <v>44</v>
      </c>
      <c r="B27" s="14"/>
      <c r="C27" s="11"/>
      <c r="D27" s="12">
        <v>60.5</v>
      </c>
      <c r="E27" s="12">
        <f t="shared" ref="E27:E31" si="2">B27*D27</f>
        <v>0</v>
      </c>
    </row>
    <row r="28" ht="26.25" customHeight="1">
      <c r="A28" s="23" t="s">
        <v>45</v>
      </c>
      <c r="B28" s="14"/>
      <c r="C28" s="11"/>
      <c r="D28" s="12">
        <v>60.5</v>
      </c>
      <c r="E28" s="12">
        <f t="shared" si="2"/>
        <v>0</v>
      </c>
    </row>
    <row r="29" ht="26.25" customHeight="1">
      <c r="A29" s="23" t="s">
        <v>46</v>
      </c>
      <c r="B29" s="19"/>
      <c r="C29" s="24"/>
      <c r="D29" s="25">
        <v>60.5</v>
      </c>
      <c r="E29" s="12">
        <f t="shared" si="2"/>
        <v>0</v>
      </c>
    </row>
    <row r="30" ht="26.25" customHeight="1">
      <c r="A30" s="26" t="s">
        <v>47</v>
      </c>
      <c r="B30" s="27"/>
      <c r="C30" s="28"/>
      <c r="D30" s="12">
        <v>17.1</v>
      </c>
      <c r="E30" s="12">
        <f t="shared" si="2"/>
        <v>0</v>
      </c>
    </row>
    <row r="31" ht="26.25" customHeight="1">
      <c r="A31" s="29" t="s">
        <v>48</v>
      </c>
      <c r="B31" s="28">
        <v>3.0</v>
      </c>
      <c r="C31" s="28"/>
      <c r="D31" s="12">
        <v>26.55</v>
      </c>
      <c r="E31" s="12">
        <f t="shared" si="2"/>
        <v>79.65</v>
      </c>
    </row>
    <row r="32" ht="26.25" customHeight="1">
      <c r="A32" s="30" t="s">
        <v>49</v>
      </c>
      <c r="B32" s="31"/>
      <c r="C32" s="31"/>
      <c r="D32" s="31"/>
      <c r="E32" s="32"/>
    </row>
    <row r="33" ht="26.25" customHeight="1">
      <c r="A33" s="26" t="s">
        <v>50</v>
      </c>
      <c r="B33" s="33"/>
      <c r="C33" s="34">
        <v>4.0</v>
      </c>
      <c r="D33" s="12">
        <v>3.5</v>
      </c>
      <c r="E33" s="12">
        <f t="shared" ref="E33:E38" si="3">B33*D33</f>
        <v>0</v>
      </c>
    </row>
    <row r="34" ht="26.25" customHeight="1">
      <c r="A34" s="26" t="s">
        <v>51</v>
      </c>
      <c r="B34" s="34"/>
      <c r="C34" s="33"/>
      <c r="D34" s="12">
        <v>4.41</v>
      </c>
      <c r="E34" s="12">
        <f t="shared" si="3"/>
        <v>0</v>
      </c>
    </row>
    <row r="35" ht="26.25" customHeight="1">
      <c r="A35" s="26" t="s">
        <v>52</v>
      </c>
      <c r="B35" s="15"/>
      <c r="C35" s="16"/>
      <c r="D35" s="12">
        <v>5.13</v>
      </c>
      <c r="E35" s="12">
        <f t="shared" si="3"/>
        <v>0</v>
      </c>
    </row>
    <row r="36" ht="26.25" customHeight="1">
      <c r="A36" s="26" t="s">
        <v>53</v>
      </c>
      <c r="B36" s="16"/>
      <c r="C36" s="15">
        <v>2.0</v>
      </c>
      <c r="D36" s="12">
        <v>16.0</v>
      </c>
      <c r="E36" s="12">
        <f t="shared" si="3"/>
        <v>0</v>
      </c>
    </row>
    <row r="37" ht="26.25" customHeight="1">
      <c r="A37" s="26" t="s">
        <v>54</v>
      </c>
      <c r="B37" s="15"/>
      <c r="C37" s="16"/>
      <c r="D37" s="12">
        <v>35.55</v>
      </c>
      <c r="E37" s="12">
        <f t="shared" si="3"/>
        <v>0</v>
      </c>
    </row>
    <row r="38" ht="26.25" customHeight="1">
      <c r="A38" s="26" t="s">
        <v>55</v>
      </c>
      <c r="B38" s="15"/>
      <c r="C38" s="16"/>
      <c r="D38" s="12">
        <v>39.06</v>
      </c>
      <c r="E38" s="12">
        <f t="shared" si="3"/>
        <v>0</v>
      </c>
    </row>
    <row r="39" ht="26.25" customHeight="1">
      <c r="A39" s="35" t="s">
        <v>56</v>
      </c>
      <c r="B39" s="2"/>
      <c r="C39" s="2"/>
      <c r="D39" s="2"/>
      <c r="E39" s="3"/>
    </row>
    <row r="40" ht="26.25" customHeight="1">
      <c r="A40" s="36" t="s">
        <v>57</v>
      </c>
      <c r="B40" s="10"/>
      <c r="C40" s="14" t="s">
        <v>26</v>
      </c>
      <c r="D40" s="12">
        <v>10.5</v>
      </c>
      <c r="E40" s="12">
        <f t="shared" ref="E40:E45" si="4">B40*D40</f>
        <v>0</v>
      </c>
    </row>
    <row r="41" ht="26.25" customHeight="1">
      <c r="A41" s="36" t="s">
        <v>59</v>
      </c>
      <c r="B41" s="14"/>
      <c r="C41" s="11"/>
      <c r="D41" s="12">
        <v>19.98</v>
      </c>
      <c r="E41" s="12">
        <f t="shared" si="4"/>
        <v>0</v>
      </c>
    </row>
    <row r="42" ht="26.25" customHeight="1">
      <c r="A42" s="36" t="s">
        <v>60</v>
      </c>
      <c r="B42" s="10" t="s">
        <v>26</v>
      </c>
      <c r="C42" s="11"/>
      <c r="D42" s="12">
        <v>9.72</v>
      </c>
      <c r="E42" s="12">
        <f t="shared" si="4"/>
        <v>58.32</v>
      </c>
    </row>
    <row r="43" ht="26.25" customHeight="1">
      <c r="A43" s="36" t="s">
        <v>61</v>
      </c>
      <c r="B43" s="37"/>
      <c r="C43" s="19"/>
      <c r="D43" s="12">
        <v>13.8</v>
      </c>
      <c r="E43" s="12">
        <f t="shared" si="4"/>
        <v>0</v>
      </c>
    </row>
    <row r="44" ht="26.25" customHeight="1">
      <c r="A44" s="36" t="s">
        <v>62</v>
      </c>
      <c r="B44" s="18" t="s">
        <v>10</v>
      </c>
      <c r="C44" s="24"/>
      <c r="D44" s="12">
        <v>36.9</v>
      </c>
      <c r="E44" s="12">
        <f t="shared" si="4"/>
        <v>36.9</v>
      </c>
    </row>
    <row r="45" ht="26.25" customHeight="1">
      <c r="A45" s="36" t="s">
        <v>63</v>
      </c>
      <c r="B45" s="14"/>
      <c r="C45" s="11"/>
      <c r="D45" s="12">
        <v>33.57</v>
      </c>
      <c r="E45" s="12">
        <f t="shared" si="4"/>
        <v>0</v>
      </c>
    </row>
    <row r="46" ht="26.25" customHeight="1">
      <c r="A46" s="38" t="s">
        <v>64</v>
      </c>
      <c r="E46" s="39"/>
    </row>
    <row r="47" ht="26.25" customHeight="1">
      <c r="A47" s="26" t="s">
        <v>65</v>
      </c>
      <c r="B47" s="14"/>
      <c r="C47" s="11"/>
      <c r="D47" s="12">
        <v>9.0</v>
      </c>
      <c r="E47" s="12">
        <f t="shared" ref="E47:E58" si="5">B47*D47</f>
        <v>0</v>
      </c>
    </row>
    <row r="48" ht="26.25" customHeight="1">
      <c r="A48" s="26" t="s">
        <v>66</v>
      </c>
      <c r="B48" s="14"/>
      <c r="C48" s="11"/>
      <c r="D48" s="12">
        <v>10.6</v>
      </c>
      <c r="E48" s="12">
        <f t="shared" si="5"/>
        <v>0</v>
      </c>
    </row>
    <row r="49" ht="26.25" customHeight="1">
      <c r="A49" s="26" t="s">
        <v>67</v>
      </c>
      <c r="B49" s="14"/>
      <c r="C49" s="11"/>
      <c r="D49" s="12">
        <v>16.0</v>
      </c>
      <c r="E49" s="12">
        <f t="shared" si="5"/>
        <v>0</v>
      </c>
    </row>
    <row r="50" ht="26.25" customHeight="1">
      <c r="A50" s="26" t="s">
        <v>68</v>
      </c>
      <c r="B50" s="10"/>
      <c r="C50" s="14" t="s">
        <v>10</v>
      </c>
      <c r="D50" s="12">
        <v>15.4</v>
      </c>
      <c r="E50" s="12">
        <f t="shared" si="5"/>
        <v>0</v>
      </c>
    </row>
    <row r="51" ht="26.25" customHeight="1">
      <c r="A51" s="26" t="s">
        <v>69</v>
      </c>
      <c r="B51" s="14"/>
      <c r="C51" s="11"/>
      <c r="D51" s="12">
        <v>43.2</v>
      </c>
      <c r="E51" s="12">
        <f t="shared" si="5"/>
        <v>0</v>
      </c>
    </row>
    <row r="52" ht="26.25" customHeight="1">
      <c r="A52" s="26" t="s">
        <v>70</v>
      </c>
      <c r="B52" s="14"/>
      <c r="C52" s="11"/>
      <c r="D52" s="12">
        <v>13.6</v>
      </c>
      <c r="E52" s="12">
        <f t="shared" si="5"/>
        <v>0</v>
      </c>
    </row>
    <row r="53" ht="26.25" customHeight="1">
      <c r="A53" s="26" t="s">
        <v>71</v>
      </c>
      <c r="B53" s="14"/>
      <c r="C53" s="11"/>
      <c r="D53" s="12">
        <v>16.5</v>
      </c>
      <c r="E53" s="12">
        <f t="shared" si="5"/>
        <v>0</v>
      </c>
    </row>
    <row r="54" ht="26.25" customHeight="1">
      <c r="A54" s="26" t="s">
        <v>72</v>
      </c>
      <c r="B54" s="14"/>
      <c r="C54" s="11"/>
      <c r="D54" s="12">
        <v>24.2</v>
      </c>
      <c r="E54" s="12">
        <f t="shared" si="5"/>
        <v>0</v>
      </c>
    </row>
    <row r="55" ht="26.25" customHeight="1">
      <c r="A55" s="26" t="s">
        <v>73</v>
      </c>
      <c r="B55" s="14"/>
      <c r="C55" s="11"/>
      <c r="D55" s="12">
        <v>23.3</v>
      </c>
      <c r="E55" s="12">
        <f t="shared" si="5"/>
        <v>0</v>
      </c>
    </row>
    <row r="56" ht="26.25" customHeight="1">
      <c r="A56" s="26" t="s">
        <v>74</v>
      </c>
      <c r="B56" s="10"/>
      <c r="C56" s="14" t="s">
        <v>10</v>
      </c>
      <c r="D56" s="12">
        <v>30.0</v>
      </c>
      <c r="E56" s="12">
        <f t="shared" si="5"/>
        <v>0</v>
      </c>
    </row>
    <row r="57" ht="26.25" customHeight="1">
      <c r="A57" s="26" t="s">
        <v>75</v>
      </c>
      <c r="B57" s="14"/>
      <c r="C57" s="11"/>
      <c r="D57" s="12">
        <v>88.0</v>
      </c>
      <c r="E57" s="12">
        <f t="shared" si="5"/>
        <v>0</v>
      </c>
    </row>
    <row r="58" ht="26.25" customHeight="1">
      <c r="A58" s="26" t="s">
        <v>76</v>
      </c>
      <c r="B58" s="14"/>
      <c r="C58" s="11"/>
      <c r="D58" s="12">
        <v>29.7</v>
      </c>
      <c r="E58" s="12">
        <f t="shared" si="5"/>
        <v>0</v>
      </c>
    </row>
    <row r="59" ht="26.25" customHeight="1">
      <c r="A59" s="40" t="s">
        <v>77</v>
      </c>
      <c r="E59" s="39"/>
    </row>
    <row r="60" ht="26.25" customHeight="1">
      <c r="A60" s="26" t="s">
        <v>78</v>
      </c>
      <c r="B60" s="16"/>
      <c r="C60" s="15">
        <v>1.0</v>
      </c>
      <c r="D60" s="12">
        <v>12.54</v>
      </c>
      <c r="E60" s="12">
        <f t="shared" ref="E60:E70" si="6">B60*D60</f>
        <v>0</v>
      </c>
    </row>
    <row r="61" ht="26.25" customHeight="1">
      <c r="A61" s="26" t="s">
        <v>79</v>
      </c>
      <c r="B61" s="15"/>
      <c r="C61" s="16"/>
      <c r="D61" s="12">
        <v>17.55</v>
      </c>
      <c r="E61" s="12">
        <f t="shared" si="6"/>
        <v>0</v>
      </c>
    </row>
    <row r="62" ht="26.25" customHeight="1">
      <c r="A62" s="26" t="s">
        <v>80</v>
      </c>
      <c r="B62" s="15"/>
      <c r="C62" s="11"/>
      <c r="D62" s="12">
        <v>23.4</v>
      </c>
      <c r="E62" s="12">
        <f t="shared" si="6"/>
        <v>0</v>
      </c>
    </row>
    <row r="63" ht="26.25" customHeight="1">
      <c r="A63" s="26" t="s">
        <v>81</v>
      </c>
      <c r="B63" s="10" t="s">
        <v>8</v>
      </c>
      <c r="C63" s="11"/>
      <c r="D63" s="12">
        <v>33.12</v>
      </c>
      <c r="E63" s="12">
        <f t="shared" si="6"/>
        <v>66.24</v>
      </c>
    </row>
    <row r="64" ht="26.25" customHeight="1">
      <c r="A64" s="26" t="s">
        <v>82</v>
      </c>
      <c r="B64" s="10"/>
      <c r="C64" s="14" t="s">
        <v>10</v>
      </c>
      <c r="D64" s="12">
        <v>14.8</v>
      </c>
      <c r="E64" s="12">
        <f t="shared" si="6"/>
        <v>0</v>
      </c>
    </row>
    <row r="65" ht="26.25" customHeight="1">
      <c r="A65" s="26" t="s">
        <v>83</v>
      </c>
      <c r="B65" s="15"/>
      <c r="C65" s="11"/>
      <c r="D65" s="12">
        <v>11.9</v>
      </c>
      <c r="E65" s="12">
        <f t="shared" si="6"/>
        <v>0</v>
      </c>
    </row>
    <row r="66" ht="26.25" customHeight="1">
      <c r="A66" s="26" t="s">
        <v>84</v>
      </c>
      <c r="B66" s="10" t="s">
        <v>13</v>
      </c>
      <c r="C66" s="11"/>
      <c r="D66" s="12">
        <v>9.09</v>
      </c>
      <c r="E66" s="12">
        <f t="shared" si="6"/>
        <v>27.27</v>
      </c>
    </row>
    <row r="67" ht="26.25" customHeight="1">
      <c r="A67" s="26" t="s">
        <v>85</v>
      </c>
      <c r="B67" s="15"/>
      <c r="C67" s="11"/>
      <c r="D67" s="12">
        <v>15.2</v>
      </c>
      <c r="E67" s="12">
        <f t="shared" si="6"/>
        <v>0</v>
      </c>
    </row>
    <row r="68" ht="26.25" customHeight="1">
      <c r="A68" s="26" t="s">
        <v>86</v>
      </c>
      <c r="B68" s="15"/>
      <c r="C68" s="11"/>
      <c r="D68" s="12">
        <v>17.46</v>
      </c>
      <c r="E68" s="12">
        <f t="shared" si="6"/>
        <v>0</v>
      </c>
    </row>
    <row r="69" ht="26.25" customHeight="1">
      <c r="A69" s="41" t="s">
        <v>87</v>
      </c>
      <c r="B69" s="15"/>
      <c r="C69" s="11"/>
      <c r="D69" s="12">
        <v>7.85</v>
      </c>
      <c r="E69" s="12">
        <f t="shared" si="6"/>
        <v>0</v>
      </c>
    </row>
    <row r="70" ht="26.25" customHeight="1">
      <c r="A70" s="26" t="s">
        <v>88</v>
      </c>
      <c r="B70" s="28">
        <v>2.0</v>
      </c>
      <c r="C70" s="28"/>
      <c r="D70" s="12">
        <v>14.58</v>
      </c>
      <c r="E70" s="12">
        <f t="shared" si="6"/>
        <v>29.16</v>
      </c>
    </row>
    <row r="71" ht="26.25" customHeight="1">
      <c r="A71" s="35" t="s">
        <v>89</v>
      </c>
      <c r="B71" s="2"/>
      <c r="C71" s="2"/>
      <c r="D71" s="2"/>
      <c r="E71" s="42"/>
    </row>
    <row r="72" ht="26.25" customHeight="1">
      <c r="A72" s="41" t="s">
        <v>90</v>
      </c>
      <c r="B72" s="15"/>
      <c r="C72" s="43"/>
      <c r="D72" s="12">
        <v>0.88</v>
      </c>
      <c r="E72" s="12">
        <f t="shared" ref="E72:E73" si="7">B72*D72</f>
        <v>0</v>
      </c>
    </row>
    <row r="73" ht="26.25" customHeight="1">
      <c r="A73" s="41" t="s">
        <v>91</v>
      </c>
      <c r="B73" s="15"/>
      <c r="C73" s="44"/>
      <c r="D73" s="12">
        <v>1.01</v>
      </c>
      <c r="E73" s="12">
        <f t="shared" si="7"/>
        <v>0</v>
      </c>
    </row>
    <row r="74" ht="26.25" customHeight="1">
      <c r="A74" s="40" t="s">
        <v>92</v>
      </c>
      <c r="E74" s="39"/>
    </row>
    <row r="75" ht="30.0" customHeight="1">
      <c r="A75" s="41" t="s">
        <v>93</v>
      </c>
      <c r="B75" s="15"/>
      <c r="C75" s="15">
        <v>2.0</v>
      </c>
      <c r="D75" s="12">
        <v>5.94</v>
      </c>
      <c r="E75" s="12">
        <f t="shared" ref="E75:E76" si="8">B75*D75</f>
        <v>0</v>
      </c>
    </row>
    <row r="76" ht="26.25" customHeight="1">
      <c r="A76" s="41" t="s">
        <v>94</v>
      </c>
      <c r="B76" s="45"/>
      <c r="C76" s="15">
        <v>2.0</v>
      </c>
      <c r="D76" s="12">
        <v>2.7</v>
      </c>
      <c r="E76" s="12">
        <f t="shared" si="8"/>
        <v>0</v>
      </c>
    </row>
    <row r="77" ht="30.0" customHeight="1">
      <c r="A77" s="46" t="s">
        <v>95</v>
      </c>
      <c r="B77" s="31"/>
      <c r="C77" s="31"/>
      <c r="D77" s="31"/>
      <c r="E77" s="47">
        <f>SUM(E4:E76)</f>
        <v>362.11</v>
      </c>
      <c r="F77" s="48"/>
    </row>
    <row r="78" ht="26.25" customHeight="1">
      <c r="A78" s="49" t="s">
        <v>96</v>
      </c>
      <c r="B78" s="31"/>
      <c r="C78" s="31"/>
      <c r="D78" s="31"/>
      <c r="E78" s="50">
        <f>E77*22%</f>
        <v>79.6642</v>
      </c>
      <c r="F78" s="48"/>
    </row>
    <row r="79" ht="33.75" customHeight="1">
      <c r="A79" s="51" t="s">
        <v>97</v>
      </c>
      <c r="B79" s="31"/>
      <c r="C79" s="31"/>
      <c r="D79" s="31"/>
      <c r="E79" s="52">
        <f>E77+E78</f>
        <v>441.7742</v>
      </c>
      <c r="F79" s="48"/>
    </row>
    <row r="80" ht="26.25" customHeight="1">
      <c r="F80" s="48"/>
    </row>
    <row r="81" ht="26.25" customHeight="1">
      <c r="F81" s="48"/>
    </row>
    <row r="82" ht="30.0" customHeight="1">
      <c r="A82" s="53" t="s">
        <v>98</v>
      </c>
      <c r="B82" s="31"/>
      <c r="C82" s="31"/>
      <c r="D82" s="31"/>
      <c r="E82" s="32"/>
      <c r="F82" s="48"/>
    </row>
    <row r="83" ht="26.25" customHeight="1">
      <c r="A83" s="54" t="s">
        <v>6</v>
      </c>
      <c r="B83" s="31"/>
      <c r="C83" s="31"/>
      <c r="D83" s="31"/>
      <c r="E83" s="32"/>
      <c r="F83" s="48"/>
    </row>
    <row r="84" ht="26.25" customHeight="1">
      <c r="A84" s="55" t="s">
        <v>99</v>
      </c>
      <c r="B84" s="56"/>
      <c r="C84" s="56"/>
      <c r="D84" s="57">
        <v>7.8</v>
      </c>
      <c r="E84" s="58">
        <f t="shared" ref="E84:E92" si="9">B84*D84</f>
        <v>0</v>
      </c>
      <c r="F84" s="48"/>
    </row>
    <row r="85" ht="26.25" customHeight="1">
      <c r="A85" s="55" t="s">
        <v>100</v>
      </c>
      <c r="B85" s="56"/>
      <c r="C85" s="56"/>
      <c r="D85" s="57">
        <v>3.15</v>
      </c>
      <c r="E85" s="58">
        <f t="shared" si="9"/>
        <v>0</v>
      </c>
      <c r="F85" s="48"/>
    </row>
    <row r="86" ht="26.25" customHeight="1">
      <c r="A86" s="55" t="s">
        <v>101</v>
      </c>
      <c r="B86" s="56"/>
      <c r="C86" s="56"/>
      <c r="D86" s="57">
        <v>0.19</v>
      </c>
      <c r="E86" s="58">
        <f t="shared" si="9"/>
        <v>0</v>
      </c>
      <c r="F86" s="48"/>
    </row>
    <row r="87" ht="26.25" customHeight="1">
      <c r="A87" s="55" t="s">
        <v>102</v>
      </c>
      <c r="B87" s="56"/>
      <c r="C87" s="56"/>
      <c r="D87" s="57">
        <v>0.19</v>
      </c>
      <c r="E87" s="58">
        <f t="shared" si="9"/>
        <v>0</v>
      </c>
      <c r="F87" s="48"/>
    </row>
    <row r="88" ht="26.25" customHeight="1">
      <c r="A88" s="55" t="s">
        <v>103</v>
      </c>
      <c r="B88" s="56"/>
      <c r="C88" s="56"/>
      <c r="D88" s="57">
        <v>1.6</v>
      </c>
      <c r="E88" s="58">
        <f t="shared" si="9"/>
        <v>0</v>
      </c>
      <c r="F88" s="48"/>
    </row>
    <row r="89" ht="26.25" customHeight="1">
      <c r="A89" s="55" t="s">
        <v>104</v>
      </c>
      <c r="B89" s="56"/>
      <c r="C89" s="56"/>
      <c r="D89" s="57">
        <v>0.88</v>
      </c>
      <c r="E89" s="58">
        <f t="shared" si="9"/>
        <v>0</v>
      </c>
      <c r="F89" s="48"/>
    </row>
    <row r="90" ht="26.25" customHeight="1">
      <c r="A90" s="55" t="s">
        <v>105</v>
      </c>
      <c r="B90" s="56"/>
      <c r="C90" s="56"/>
      <c r="D90" s="57">
        <v>0.88</v>
      </c>
      <c r="E90" s="58">
        <f t="shared" si="9"/>
        <v>0</v>
      </c>
      <c r="F90" s="48"/>
    </row>
    <row r="91" ht="26.25" customHeight="1">
      <c r="A91" s="59" t="s">
        <v>106</v>
      </c>
      <c r="B91" s="15"/>
      <c r="C91" s="15"/>
      <c r="D91" s="60">
        <v>2.65</v>
      </c>
      <c r="E91" s="61">
        <f t="shared" si="9"/>
        <v>0</v>
      </c>
      <c r="F91" s="48"/>
    </row>
    <row r="92" ht="26.25" customHeight="1">
      <c r="A92" s="59" t="s">
        <v>107</v>
      </c>
      <c r="B92" s="15"/>
      <c r="C92" s="15"/>
      <c r="D92" s="60">
        <v>2.25</v>
      </c>
      <c r="E92" s="61">
        <f t="shared" si="9"/>
        <v>0</v>
      </c>
      <c r="F92" s="48"/>
    </row>
    <row r="93" ht="26.25" customHeight="1">
      <c r="A93" s="62" t="s">
        <v>108</v>
      </c>
      <c r="B93" s="31"/>
      <c r="C93" s="31"/>
      <c r="D93" s="31"/>
      <c r="E93" s="32"/>
      <c r="F93" s="48"/>
    </row>
    <row r="94" ht="26.25" customHeight="1">
      <c r="A94" s="55" t="s">
        <v>109</v>
      </c>
      <c r="B94" s="56"/>
      <c r="C94" s="56"/>
      <c r="D94" s="57">
        <v>3.56</v>
      </c>
      <c r="E94" s="58">
        <f t="shared" ref="E94:E96" si="10">B94*D94</f>
        <v>0</v>
      </c>
      <c r="F94" s="48"/>
    </row>
    <row r="95" ht="26.25" customHeight="1">
      <c r="A95" s="55" t="s">
        <v>110</v>
      </c>
      <c r="B95" s="56"/>
      <c r="C95" s="56"/>
      <c r="D95" s="57">
        <v>3.69</v>
      </c>
      <c r="E95" s="58">
        <f t="shared" si="10"/>
        <v>0</v>
      </c>
      <c r="F95" s="48"/>
    </row>
    <row r="96" ht="26.25" customHeight="1">
      <c r="A96" s="55" t="s">
        <v>111</v>
      </c>
      <c r="B96" s="56"/>
      <c r="C96" s="56"/>
      <c r="D96" s="57">
        <v>4.01</v>
      </c>
      <c r="E96" s="58">
        <f t="shared" si="10"/>
        <v>0</v>
      </c>
      <c r="F96" s="48"/>
    </row>
    <row r="97" ht="26.25" customHeight="1">
      <c r="A97" s="63" t="s">
        <v>56</v>
      </c>
      <c r="B97" s="31"/>
      <c r="C97" s="31"/>
      <c r="D97" s="31"/>
      <c r="E97" s="32"/>
      <c r="F97" s="48"/>
    </row>
    <row r="98" ht="26.25" customHeight="1">
      <c r="A98" s="55" t="s">
        <v>112</v>
      </c>
      <c r="B98" s="56"/>
      <c r="C98" s="56"/>
      <c r="D98" s="57">
        <v>9.19</v>
      </c>
      <c r="E98" s="58">
        <f t="shared" ref="E98:E99" si="11">B98*D98</f>
        <v>0</v>
      </c>
      <c r="F98" s="48"/>
    </row>
    <row r="99" ht="26.25" customHeight="1">
      <c r="A99" s="55" t="s">
        <v>113</v>
      </c>
      <c r="B99" s="56"/>
      <c r="C99" s="56"/>
      <c r="D99" s="57">
        <v>8.41</v>
      </c>
      <c r="E99" s="58">
        <f t="shared" si="11"/>
        <v>0</v>
      </c>
      <c r="F99" s="48"/>
    </row>
    <row r="100" ht="26.25" customHeight="1">
      <c r="A100" s="54" t="s">
        <v>64</v>
      </c>
      <c r="B100" s="31"/>
      <c r="C100" s="31"/>
      <c r="D100" s="31"/>
      <c r="E100" s="32"/>
      <c r="F100" s="48"/>
    </row>
    <row r="101" ht="26.25" customHeight="1">
      <c r="A101" s="55" t="s">
        <v>71</v>
      </c>
      <c r="B101" s="56"/>
      <c r="C101" s="56"/>
      <c r="D101" s="57">
        <v>13.5</v>
      </c>
      <c r="E101" s="58">
        <f t="shared" ref="E101:E102" si="12">B101*D101</f>
        <v>0</v>
      </c>
      <c r="F101" s="48"/>
    </row>
    <row r="102" ht="26.25" customHeight="1">
      <c r="A102" s="55" t="s">
        <v>114</v>
      </c>
      <c r="B102" s="56"/>
      <c r="C102" s="56"/>
      <c r="D102" s="57">
        <v>10.46</v>
      </c>
      <c r="E102" s="58">
        <f t="shared" si="12"/>
        <v>0</v>
      </c>
      <c r="F102" s="48"/>
    </row>
    <row r="103" ht="26.25" customHeight="1">
      <c r="A103" s="62" t="s">
        <v>115</v>
      </c>
      <c r="B103" s="31"/>
      <c r="C103" s="31"/>
      <c r="D103" s="31"/>
      <c r="E103" s="32"/>
      <c r="F103" s="48"/>
    </row>
    <row r="104" ht="26.25" customHeight="1">
      <c r="A104" s="55" t="s">
        <v>116</v>
      </c>
      <c r="B104" s="56"/>
      <c r="C104" s="56"/>
      <c r="D104" s="57">
        <v>14.67</v>
      </c>
      <c r="E104" s="58">
        <f t="shared" ref="E104:E108" si="13">B104*D104</f>
        <v>0</v>
      </c>
      <c r="F104" s="48"/>
    </row>
    <row r="105" ht="26.25" customHeight="1">
      <c r="A105" s="55" t="s">
        <v>117</v>
      </c>
      <c r="B105" s="56"/>
      <c r="C105" s="56"/>
      <c r="D105" s="57">
        <v>13.37</v>
      </c>
      <c r="E105" s="58">
        <f t="shared" si="13"/>
        <v>0</v>
      </c>
      <c r="F105" s="48"/>
    </row>
    <row r="106" ht="26.25" customHeight="1">
      <c r="A106" s="55" t="s">
        <v>118</v>
      </c>
      <c r="B106" s="56"/>
      <c r="C106" s="56"/>
      <c r="D106" s="57">
        <v>8.55</v>
      </c>
      <c r="E106" s="58">
        <f t="shared" si="13"/>
        <v>0</v>
      </c>
      <c r="F106" s="48"/>
    </row>
    <row r="107" ht="26.25" customHeight="1">
      <c r="A107" s="55" t="s">
        <v>119</v>
      </c>
      <c r="B107" s="56"/>
      <c r="C107" s="56"/>
      <c r="D107" s="57">
        <v>21.56</v>
      </c>
      <c r="E107" s="58">
        <f t="shared" si="13"/>
        <v>0</v>
      </c>
      <c r="F107" s="48"/>
    </row>
    <row r="108" ht="26.25" customHeight="1">
      <c r="A108" s="55" t="s">
        <v>120</v>
      </c>
      <c r="B108" s="56"/>
      <c r="C108" s="56"/>
      <c r="D108" s="57">
        <v>20.23</v>
      </c>
      <c r="E108" s="58">
        <f t="shared" si="13"/>
        <v>0</v>
      </c>
      <c r="F108" s="48"/>
    </row>
    <row r="109" ht="26.25" customHeight="1">
      <c r="A109" s="64" t="s">
        <v>77</v>
      </c>
      <c r="B109" s="31"/>
      <c r="C109" s="31"/>
      <c r="D109" s="31"/>
      <c r="E109" s="32"/>
      <c r="F109" s="48"/>
    </row>
    <row r="110" ht="26.25" customHeight="1">
      <c r="A110" s="55" t="s">
        <v>121</v>
      </c>
      <c r="B110" s="56"/>
      <c r="C110" s="56"/>
      <c r="D110" s="57"/>
      <c r="E110" s="58"/>
      <c r="F110" s="48"/>
    </row>
    <row r="111" ht="26.25" customHeight="1">
      <c r="A111" s="55" t="s">
        <v>122</v>
      </c>
      <c r="B111" s="56"/>
      <c r="C111" s="56"/>
      <c r="D111" s="57">
        <v>8.77</v>
      </c>
      <c r="E111" s="58">
        <f t="shared" ref="E111:E112" si="14">B111*D111</f>
        <v>0</v>
      </c>
      <c r="F111" s="48"/>
    </row>
    <row r="112" ht="26.25" customHeight="1">
      <c r="A112" s="55" t="s">
        <v>123</v>
      </c>
      <c r="B112" s="56"/>
      <c r="C112" s="56"/>
      <c r="D112" s="57">
        <v>7.1</v>
      </c>
      <c r="E112" s="58">
        <f t="shared" si="14"/>
        <v>0</v>
      </c>
      <c r="F112" s="48"/>
    </row>
    <row r="113" ht="26.25" customHeight="1">
      <c r="A113" s="63" t="s">
        <v>89</v>
      </c>
      <c r="B113" s="31"/>
      <c r="C113" s="31"/>
      <c r="D113" s="31"/>
      <c r="E113" s="32"/>
      <c r="F113" s="48"/>
    </row>
    <row r="114" ht="26.25" customHeight="1">
      <c r="A114" s="55" t="s">
        <v>124</v>
      </c>
      <c r="B114" s="56"/>
      <c r="C114" s="56"/>
      <c r="D114" s="57">
        <v>0.92</v>
      </c>
      <c r="E114" s="58">
        <f>B114*D114</f>
        <v>0</v>
      </c>
      <c r="F114" s="48"/>
    </row>
    <row r="115" ht="26.25" customHeight="1">
      <c r="A115" s="64" t="s">
        <v>92</v>
      </c>
      <c r="B115" s="31"/>
      <c r="C115" s="31"/>
      <c r="D115" s="31"/>
      <c r="E115" s="32"/>
      <c r="F115" s="48"/>
    </row>
    <row r="116" ht="26.25" customHeight="1">
      <c r="A116" s="65" t="s">
        <v>93</v>
      </c>
      <c r="B116" s="56"/>
      <c r="C116" s="56"/>
      <c r="D116" s="57">
        <v>5.1</v>
      </c>
      <c r="E116" s="58">
        <f t="shared" ref="E116:E117" si="15">B116*D116</f>
        <v>0</v>
      </c>
      <c r="F116" s="48"/>
    </row>
    <row r="117" ht="26.25" customHeight="1">
      <c r="A117" s="55" t="s">
        <v>125</v>
      </c>
      <c r="B117" s="56"/>
      <c r="C117" s="56"/>
      <c r="D117" s="57">
        <v>42.31</v>
      </c>
      <c r="E117" s="58">
        <f t="shared" si="15"/>
        <v>0</v>
      </c>
      <c r="F117" s="48"/>
    </row>
    <row r="118" ht="30.0" customHeight="1">
      <c r="A118" s="46" t="s">
        <v>95</v>
      </c>
      <c r="B118" s="31"/>
      <c r="C118" s="31"/>
      <c r="D118" s="32"/>
      <c r="E118" s="66">
        <f>SUM(E84:E117)</f>
        <v>0</v>
      </c>
      <c r="F118" s="48"/>
    </row>
    <row r="119" ht="26.25" customHeight="1">
      <c r="A119" s="49" t="s">
        <v>96</v>
      </c>
      <c r="B119" s="31"/>
      <c r="C119" s="31"/>
      <c r="D119" s="32"/>
      <c r="E119" s="50">
        <f>E118*22%</f>
        <v>0</v>
      </c>
      <c r="F119" s="48"/>
    </row>
    <row r="120" ht="33.75" customHeight="1">
      <c r="A120" s="51" t="s">
        <v>97</v>
      </c>
      <c r="B120" s="31"/>
      <c r="C120" s="31"/>
      <c r="D120" s="31"/>
      <c r="E120" s="67">
        <f>SUM(E118:E119)</f>
        <v>0</v>
      </c>
      <c r="F120" s="48"/>
    </row>
    <row r="121" ht="26.25" customHeight="1">
      <c r="F121" s="48"/>
    </row>
    <row r="122" ht="26.25" customHeight="1">
      <c r="F122" s="48"/>
    </row>
    <row r="123" ht="30.0" customHeight="1">
      <c r="A123" s="53" t="s">
        <v>126</v>
      </c>
      <c r="B123" s="31"/>
      <c r="C123" s="31"/>
      <c r="D123" s="31"/>
      <c r="E123" s="32"/>
      <c r="F123" s="48"/>
    </row>
    <row r="124" ht="26.25" customHeight="1">
      <c r="A124" s="54" t="s">
        <v>6</v>
      </c>
      <c r="B124" s="31"/>
      <c r="C124" s="31"/>
      <c r="D124" s="31"/>
      <c r="E124" s="32"/>
      <c r="F124" s="48"/>
    </row>
    <row r="125" ht="26.25" customHeight="1">
      <c r="A125" s="55" t="s">
        <v>101</v>
      </c>
      <c r="B125" s="15">
        <v>0.0</v>
      </c>
      <c r="C125" s="56"/>
      <c r="D125" s="60">
        <v>0.21</v>
      </c>
      <c r="E125" s="58">
        <f t="shared" ref="E125:E129" si="16">B125*D125</f>
        <v>0</v>
      </c>
    </row>
    <row r="126" ht="26.25" customHeight="1">
      <c r="A126" s="55" t="s">
        <v>127</v>
      </c>
      <c r="B126" s="15">
        <v>0.0</v>
      </c>
      <c r="C126" s="56"/>
      <c r="D126" s="60">
        <f>28.63/24</f>
        <v>1.192916667</v>
      </c>
      <c r="E126" s="58">
        <f t="shared" si="16"/>
        <v>0</v>
      </c>
    </row>
    <row r="127" ht="26.25" customHeight="1">
      <c r="A127" s="55" t="s">
        <v>128</v>
      </c>
      <c r="B127" s="15">
        <v>0.0</v>
      </c>
      <c r="C127" s="15"/>
      <c r="D127" s="60">
        <f>9.73/6</f>
        <v>1.621666667</v>
      </c>
      <c r="E127" s="61">
        <f t="shared" si="16"/>
        <v>0</v>
      </c>
    </row>
    <row r="128" ht="26.25" customHeight="1">
      <c r="A128" s="59" t="s">
        <v>106</v>
      </c>
      <c r="B128" s="15">
        <v>0.0</v>
      </c>
      <c r="C128" s="15"/>
      <c r="D128" s="60">
        <f>14.75/6</f>
        <v>2.458333333</v>
      </c>
      <c r="E128" s="61">
        <f t="shared" si="16"/>
        <v>0</v>
      </c>
    </row>
    <row r="129" ht="26.25" customHeight="1">
      <c r="A129" s="59" t="s">
        <v>107</v>
      </c>
      <c r="B129" s="15">
        <v>0.0</v>
      </c>
      <c r="C129" s="15"/>
      <c r="D129" s="60">
        <f>13.79/6</f>
        <v>2.298333333</v>
      </c>
      <c r="E129" s="61">
        <f t="shared" si="16"/>
        <v>0</v>
      </c>
    </row>
    <row r="130" ht="26.25" customHeight="1">
      <c r="A130" s="68" t="s">
        <v>43</v>
      </c>
      <c r="B130" s="31"/>
      <c r="C130" s="31"/>
      <c r="D130" s="31"/>
      <c r="E130" s="32"/>
    </row>
    <row r="131" ht="26.25" customHeight="1">
      <c r="A131" s="69" t="s">
        <v>44</v>
      </c>
      <c r="B131" s="15">
        <v>4.0</v>
      </c>
      <c r="C131" s="15"/>
      <c r="D131" s="60">
        <v>46.97</v>
      </c>
      <c r="E131" s="61">
        <f t="shared" ref="E131:E135" si="17">B131*D131</f>
        <v>187.88</v>
      </c>
    </row>
    <row r="132" ht="26.25" customHeight="1">
      <c r="A132" s="69" t="s">
        <v>45</v>
      </c>
      <c r="B132" s="15">
        <v>4.0</v>
      </c>
      <c r="C132" s="15"/>
      <c r="D132" s="60">
        <v>46.97</v>
      </c>
      <c r="E132" s="61">
        <f t="shared" si="17"/>
        <v>187.88</v>
      </c>
    </row>
    <row r="133" ht="26.25" customHeight="1">
      <c r="A133" s="69" t="s">
        <v>46</v>
      </c>
      <c r="B133" s="15">
        <v>3.0</v>
      </c>
      <c r="C133" s="15"/>
      <c r="D133" s="60">
        <v>46.97</v>
      </c>
      <c r="E133" s="61">
        <f t="shared" si="17"/>
        <v>140.91</v>
      </c>
    </row>
    <row r="134" ht="26.25" customHeight="1">
      <c r="A134" s="59" t="s">
        <v>47</v>
      </c>
      <c r="B134" s="15">
        <v>0.0</v>
      </c>
      <c r="C134" s="15"/>
      <c r="D134" s="60">
        <v>23.0</v>
      </c>
      <c r="E134" s="61">
        <f t="shared" si="17"/>
        <v>0</v>
      </c>
    </row>
    <row r="135" ht="26.25" customHeight="1">
      <c r="A135" s="59" t="s">
        <v>48</v>
      </c>
      <c r="B135" s="15">
        <v>0.0</v>
      </c>
      <c r="C135" s="15"/>
      <c r="D135" s="60">
        <v>42.0</v>
      </c>
      <c r="E135" s="61">
        <f t="shared" si="17"/>
        <v>0</v>
      </c>
    </row>
    <row r="136" ht="26.25" customHeight="1">
      <c r="A136" s="62" t="s">
        <v>108</v>
      </c>
      <c r="B136" s="31"/>
      <c r="C136" s="31"/>
      <c r="D136" s="31"/>
      <c r="E136" s="32"/>
    </row>
    <row r="137" ht="26.25" customHeight="1">
      <c r="A137" s="55" t="s">
        <v>129</v>
      </c>
      <c r="B137" s="56">
        <v>0.0</v>
      </c>
      <c r="C137" s="56"/>
      <c r="D137" s="57">
        <v>2.88</v>
      </c>
      <c r="E137" s="58">
        <f>B137*D137</f>
        <v>0</v>
      </c>
    </row>
    <row r="138" ht="26.25" customHeight="1">
      <c r="A138" s="63" t="s">
        <v>56</v>
      </c>
      <c r="B138" s="31"/>
      <c r="C138" s="31"/>
      <c r="D138" s="31"/>
      <c r="E138" s="32"/>
    </row>
    <row r="139" ht="26.25" customHeight="1">
      <c r="A139" s="59" t="s">
        <v>57</v>
      </c>
      <c r="B139" s="15">
        <v>0.0</v>
      </c>
      <c r="C139" s="15"/>
      <c r="D139" s="60">
        <v>11.3</v>
      </c>
      <c r="E139" s="58">
        <f t="shared" ref="E139:E142" si="18">B139*D139</f>
        <v>0</v>
      </c>
    </row>
    <row r="140" ht="26.25" customHeight="1">
      <c r="A140" s="26" t="s">
        <v>130</v>
      </c>
      <c r="B140" s="15">
        <v>36.0</v>
      </c>
      <c r="C140" s="15">
        <v>6.0</v>
      </c>
      <c r="D140" s="60">
        <v>12.0</v>
      </c>
      <c r="E140" s="58">
        <f t="shared" si="18"/>
        <v>432</v>
      </c>
    </row>
    <row r="141" ht="26.25" customHeight="1">
      <c r="A141" s="26" t="s">
        <v>63</v>
      </c>
      <c r="B141" s="27">
        <v>0.0</v>
      </c>
      <c r="C141" s="28"/>
      <c r="D141" s="12">
        <v>34.2</v>
      </c>
      <c r="E141" s="58">
        <f t="shared" si="18"/>
        <v>0</v>
      </c>
    </row>
    <row r="142" ht="26.25" customHeight="1">
      <c r="A142" s="26" t="s">
        <v>131</v>
      </c>
      <c r="B142" s="27">
        <v>0.0</v>
      </c>
      <c r="C142" s="28"/>
      <c r="D142" s="12">
        <v>87.4</v>
      </c>
      <c r="E142" s="58">
        <f t="shared" si="18"/>
        <v>0</v>
      </c>
    </row>
    <row r="143" ht="26.25" customHeight="1">
      <c r="A143" s="54" t="s">
        <v>64</v>
      </c>
      <c r="B143" s="31"/>
      <c r="C143" s="31"/>
      <c r="D143" s="31"/>
      <c r="E143" s="32"/>
    </row>
    <row r="144" ht="26.25" customHeight="1">
      <c r="A144" s="70" t="s">
        <v>132</v>
      </c>
      <c r="B144" s="28">
        <v>18.0</v>
      </c>
      <c r="C144" s="28"/>
      <c r="D144" s="12">
        <v>12.66</v>
      </c>
      <c r="E144" s="61">
        <f t="shared" ref="E144:E151" si="19">B144*D144</f>
        <v>227.88</v>
      </c>
    </row>
    <row r="145" ht="26.25" customHeight="1">
      <c r="A145" s="70" t="s">
        <v>71</v>
      </c>
      <c r="B145" s="28">
        <v>36.0</v>
      </c>
      <c r="C145" s="28"/>
      <c r="D145" s="12">
        <v>14.0</v>
      </c>
      <c r="E145" s="61">
        <f t="shared" si="19"/>
        <v>504</v>
      </c>
    </row>
    <row r="146" ht="26.25" customHeight="1">
      <c r="A146" s="70" t="s">
        <v>133</v>
      </c>
      <c r="B146" s="27">
        <v>0.0</v>
      </c>
      <c r="C146" s="28"/>
      <c r="D146" s="12">
        <v>23.5</v>
      </c>
      <c r="E146" s="61">
        <f t="shared" si="19"/>
        <v>0</v>
      </c>
    </row>
    <row r="147" ht="26.25" customHeight="1">
      <c r="A147" s="70" t="s">
        <v>134</v>
      </c>
      <c r="B147" s="27">
        <v>0.0</v>
      </c>
      <c r="C147" s="28"/>
      <c r="D147" s="12">
        <v>34.7</v>
      </c>
      <c r="E147" s="61">
        <f t="shared" si="19"/>
        <v>0</v>
      </c>
    </row>
    <row r="148" ht="26.25" customHeight="1">
      <c r="A148" s="70" t="s">
        <v>135</v>
      </c>
      <c r="B148" s="27">
        <v>0.0</v>
      </c>
      <c r="C148" s="71"/>
      <c r="D148" s="12">
        <v>37.7</v>
      </c>
      <c r="E148" s="61">
        <f t="shared" si="19"/>
        <v>0</v>
      </c>
    </row>
    <row r="149" ht="26.25" customHeight="1">
      <c r="A149" s="26" t="s">
        <v>73</v>
      </c>
      <c r="B149" s="27">
        <v>0.0</v>
      </c>
      <c r="C149" s="71"/>
      <c r="D149" s="12">
        <v>22.8</v>
      </c>
      <c r="E149" s="61">
        <f t="shared" si="19"/>
        <v>0</v>
      </c>
    </row>
    <row r="150" ht="26.25" customHeight="1">
      <c r="A150" s="26" t="s">
        <v>76</v>
      </c>
      <c r="B150" s="28">
        <v>12.0</v>
      </c>
      <c r="C150" s="71"/>
      <c r="D150" s="12">
        <v>27.75</v>
      </c>
      <c r="E150" s="61">
        <f t="shared" si="19"/>
        <v>333</v>
      </c>
    </row>
    <row r="151" ht="26.25" customHeight="1">
      <c r="A151" s="26" t="s">
        <v>86</v>
      </c>
      <c r="B151" s="27">
        <v>0.0</v>
      </c>
      <c r="C151" s="71"/>
      <c r="D151" s="12">
        <v>16.66</v>
      </c>
      <c r="E151" s="61">
        <f t="shared" si="19"/>
        <v>0</v>
      </c>
    </row>
    <row r="152" ht="26.25" customHeight="1">
      <c r="A152" s="46" t="s">
        <v>95</v>
      </c>
      <c r="B152" s="31"/>
      <c r="C152" s="31"/>
      <c r="D152" s="32"/>
      <c r="E152" s="66">
        <f>SUM(E125:E148)</f>
        <v>1680.55</v>
      </c>
    </row>
    <row r="153" ht="26.25" customHeight="1">
      <c r="A153" s="49" t="s">
        <v>96</v>
      </c>
      <c r="B153" s="31"/>
      <c r="C153" s="31"/>
      <c r="D153" s="32"/>
      <c r="E153" s="50">
        <f>E152*22%</f>
        <v>369.721</v>
      </c>
    </row>
    <row r="154" ht="33.75" customHeight="1">
      <c r="A154" s="51" t="s">
        <v>97</v>
      </c>
      <c r="B154" s="31"/>
      <c r="C154" s="31"/>
      <c r="D154" s="31"/>
      <c r="E154" s="67">
        <f>SUM(E152:E153)</f>
        <v>2050.271</v>
      </c>
    </row>
    <row r="155" ht="26.25" customHeight="1"/>
    <row r="156" ht="26.25" customHeight="1"/>
    <row r="157" ht="30.0" customHeight="1">
      <c r="A157" s="72" t="s">
        <v>136</v>
      </c>
      <c r="F157" s="48"/>
    </row>
    <row r="158" ht="30.0" customHeight="1">
      <c r="A158" s="85" t="s">
        <v>56</v>
      </c>
      <c r="B158" s="2"/>
      <c r="C158" s="2"/>
      <c r="D158" s="2"/>
      <c r="E158" s="3"/>
      <c r="F158" s="48"/>
    </row>
    <row r="159" ht="30.0" customHeight="1">
      <c r="A159" s="86" t="s">
        <v>137</v>
      </c>
      <c r="B159" s="87"/>
      <c r="C159" s="87"/>
      <c r="D159" s="88">
        <v>10.77</v>
      </c>
      <c r="F159" s="48"/>
    </row>
    <row r="160" ht="30.0" customHeight="1">
      <c r="A160" s="89" t="s">
        <v>138</v>
      </c>
      <c r="B160" s="90">
        <v>6.0</v>
      </c>
      <c r="C160" s="91"/>
      <c r="D160" s="92">
        <v>30.94</v>
      </c>
      <c r="F160" s="48"/>
    </row>
    <row r="161" ht="30.0" customHeight="1">
      <c r="A161" s="93" t="s">
        <v>139</v>
      </c>
      <c r="B161" s="90">
        <v>3.0</v>
      </c>
      <c r="C161" s="94"/>
      <c r="D161" s="92">
        <v>65.5</v>
      </c>
      <c r="F161" s="48"/>
    </row>
    <row r="162" ht="30.0" customHeight="1">
      <c r="A162" s="95" t="s">
        <v>140</v>
      </c>
      <c r="B162" s="94"/>
      <c r="C162" s="94"/>
      <c r="D162" s="96">
        <v>134.0</v>
      </c>
      <c r="F162" s="48"/>
    </row>
    <row r="163" ht="30.0" customHeight="1">
      <c r="A163" s="97" t="s">
        <v>64</v>
      </c>
      <c r="E163" s="39"/>
      <c r="F163" s="48"/>
    </row>
    <row r="164" ht="30.0" customHeight="1">
      <c r="A164" s="36" t="s">
        <v>141</v>
      </c>
      <c r="B164" s="87"/>
      <c r="C164" s="87"/>
      <c r="D164" s="92">
        <v>9.29</v>
      </c>
      <c r="F164" s="48"/>
    </row>
    <row r="165" ht="30.0" customHeight="1">
      <c r="A165" s="98" t="s">
        <v>115</v>
      </c>
      <c r="B165" s="31"/>
      <c r="C165" s="31"/>
      <c r="D165" s="31"/>
      <c r="E165" s="32"/>
      <c r="F165" s="48"/>
    </row>
    <row r="166" ht="30.0" customHeight="1">
      <c r="A166" s="36" t="s">
        <v>142</v>
      </c>
      <c r="B166" s="99">
        <v>12.0</v>
      </c>
      <c r="C166" s="87"/>
      <c r="D166" s="92">
        <v>10.7</v>
      </c>
      <c r="F166" s="48"/>
    </row>
    <row r="167" ht="30.0" customHeight="1">
      <c r="A167" s="36" t="s">
        <v>86</v>
      </c>
      <c r="B167" s="99">
        <v>6.0</v>
      </c>
      <c r="C167" s="87"/>
      <c r="D167" s="92">
        <v>14.96</v>
      </c>
      <c r="F167" s="48"/>
    </row>
    <row r="168" ht="30.0" customHeight="1">
      <c r="A168" s="36" t="s">
        <v>119</v>
      </c>
      <c r="B168" s="87"/>
      <c r="C168" s="87"/>
      <c r="D168" s="88">
        <v>15.64</v>
      </c>
      <c r="F168" s="48"/>
    </row>
    <row r="169" ht="30.0" customHeight="1">
      <c r="A169" s="100" t="s">
        <v>77</v>
      </c>
      <c r="B169" s="31"/>
      <c r="C169" s="31"/>
      <c r="D169" s="31"/>
      <c r="E169" s="32"/>
      <c r="F169" s="48"/>
    </row>
    <row r="170" ht="30.0" customHeight="1">
      <c r="A170" s="36" t="s">
        <v>143</v>
      </c>
      <c r="B170" s="87"/>
      <c r="C170" s="87"/>
      <c r="D170" s="88">
        <v>16.06</v>
      </c>
      <c r="F170" s="48"/>
    </row>
    <row r="171" ht="30.0" customHeight="1">
      <c r="A171" s="36" t="s">
        <v>144</v>
      </c>
      <c r="B171" s="99">
        <v>6.0</v>
      </c>
      <c r="C171" s="87"/>
      <c r="D171" s="92">
        <v>10.08</v>
      </c>
      <c r="F171" s="48"/>
    </row>
    <row r="172" ht="30.0" customHeight="1">
      <c r="A172" s="36" t="s">
        <v>145</v>
      </c>
      <c r="B172" s="87"/>
      <c r="C172" s="87"/>
      <c r="D172" s="92">
        <v>18.5</v>
      </c>
      <c r="F172" s="48"/>
    </row>
    <row r="173" ht="30.0" customHeight="1">
      <c r="A173" s="36" t="s">
        <v>146</v>
      </c>
      <c r="B173" s="87"/>
      <c r="C173" s="87"/>
      <c r="D173" s="101">
        <v>10.95</v>
      </c>
      <c r="F173" s="48"/>
    </row>
    <row r="174" ht="30.0" customHeight="1">
      <c r="A174" s="36" t="s">
        <v>147</v>
      </c>
      <c r="B174" s="87"/>
      <c r="C174" s="87"/>
      <c r="D174" s="101">
        <v>13.31</v>
      </c>
      <c r="F174" s="48"/>
    </row>
    <row r="175" ht="30.0" customHeight="1">
      <c r="A175" s="46" t="s">
        <v>95</v>
      </c>
      <c r="B175" s="31"/>
      <c r="C175" s="31"/>
      <c r="D175" s="32"/>
      <c r="E175" s="66">
        <f>SUM(E148:E171)</f>
        <v>4433.542</v>
      </c>
      <c r="F175" s="48"/>
    </row>
    <row r="176" ht="30.0" customHeight="1">
      <c r="A176" s="49" t="s">
        <v>96</v>
      </c>
      <c r="B176" s="31"/>
      <c r="C176" s="31"/>
      <c r="D176" s="32"/>
      <c r="E176" s="50">
        <f>E175*22%</f>
        <v>975.37924</v>
      </c>
      <c r="F176" s="48"/>
    </row>
    <row r="177" ht="30.0" customHeight="1">
      <c r="A177" s="51" t="s">
        <v>97</v>
      </c>
      <c r="B177" s="31"/>
      <c r="C177" s="31"/>
      <c r="D177" s="31"/>
      <c r="E177" s="67">
        <f>SUM(E175:E176)</f>
        <v>5408.92124</v>
      </c>
      <c r="F177" s="48"/>
    </row>
    <row r="178" ht="26.25" customHeight="1">
      <c r="A178" s="80"/>
      <c r="F178" s="48"/>
    </row>
    <row r="179" ht="26.25" customHeight="1">
      <c r="F179" s="48"/>
    </row>
    <row r="180" ht="30.0" customHeight="1">
      <c r="A180" s="53" t="s">
        <v>148</v>
      </c>
      <c r="B180" s="31"/>
      <c r="C180" s="31"/>
      <c r="D180" s="31"/>
      <c r="E180" s="32"/>
      <c r="F180" s="48"/>
    </row>
    <row r="181" ht="26.25" customHeight="1">
      <c r="A181" s="81" t="s">
        <v>149</v>
      </c>
      <c r="B181" s="31"/>
      <c r="C181" s="31"/>
      <c r="D181" s="31"/>
      <c r="E181" s="32"/>
      <c r="F181" s="48"/>
    </row>
    <row r="182" ht="26.25" customHeight="1">
      <c r="A182" s="59" t="s">
        <v>86</v>
      </c>
      <c r="B182" s="56"/>
      <c r="C182" s="56"/>
      <c r="D182" s="82">
        <v>16.0</v>
      </c>
      <c r="E182" s="58">
        <f t="shared" ref="E182:E190" si="20">B182*D182</f>
        <v>0</v>
      </c>
    </row>
    <row r="183" ht="26.25" customHeight="1">
      <c r="A183" s="55" t="s">
        <v>150</v>
      </c>
      <c r="B183" s="56"/>
      <c r="C183" s="56"/>
      <c r="D183" s="82">
        <v>13.0</v>
      </c>
      <c r="E183" s="58">
        <f t="shared" si="20"/>
        <v>0</v>
      </c>
    </row>
    <row r="184" ht="26.25" customHeight="1">
      <c r="A184" s="55" t="s">
        <v>151</v>
      </c>
      <c r="B184" s="15"/>
      <c r="C184" s="15"/>
      <c r="D184" s="82">
        <v>21.0</v>
      </c>
      <c r="E184" s="58">
        <f t="shared" si="20"/>
        <v>0</v>
      </c>
    </row>
    <row r="185" ht="26.25" customHeight="1">
      <c r="A185" s="55" t="s">
        <v>152</v>
      </c>
      <c r="B185" s="15"/>
      <c r="C185" s="15"/>
      <c r="D185" s="82">
        <v>9.0</v>
      </c>
      <c r="E185" s="61">
        <f t="shared" si="20"/>
        <v>0</v>
      </c>
    </row>
    <row r="186" ht="26.25" customHeight="1">
      <c r="A186" s="55" t="s">
        <v>153</v>
      </c>
      <c r="B186" s="15"/>
      <c r="C186" s="15"/>
      <c r="D186" s="82">
        <v>1.0</v>
      </c>
      <c r="E186" s="61">
        <f t="shared" si="20"/>
        <v>0</v>
      </c>
    </row>
    <row r="187" ht="26.25" customHeight="1">
      <c r="A187" s="55" t="s">
        <v>154</v>
      </c>
      <c r="B187" s="15"/>
      <c r="C187" s="15"/>
      <c r="D187" s="82">
        <v>1.0</v>
      </c>
      <c r="E187" s="61">
        <f t="shared" si="20"/>
        <v>0</v>
      </c>
    </row>
    <row r="188" ht="26.25" customHeight="1">
      <c r="A188" s="55" t="s">
        <v>155</v>
      </c>
      <c r="B188" s="15"/>
      <c r="C188" s="15"/>
      <c r="D188" s="82">
        <v>1.0</v>
      </c>
      <c r="E188" s="61">
        <f t="shared" si="20"/>
        <v>0</v>
      </c>
    </row>
    <row r="189" ht="26.25" customHeight="1">
      <c r="A189" s="55" t="s">
        <v>156</v>
      </c>
      <c r="B189" s="15"/>
      <c r="C189" s="15"/>
      <c r="D189" s="82">
        <v>2.0</v>
      </c>
      <c r="E189" s="61">
        <f t="shared" si="20"/>
        <v>0</v>
      </c>
    </row>
    <row r="190" ht="26.25" customHeight="1">
      <c r="A190" s="55" t="s">
        <v>157</v>
      </c>
      <c r="B190" s="15"/>
      <c r="C190" s="15"/>
      <c r="D190" s="82">
        <v>9.0</v>
      </c>
      <c r="E190" s="61">
        <f t="shared" si="20"/>
        <v>0</v>
      </c>
    </row>
    <row r="191" ht="26.25" customHeight="1">
      <c r="A191" s="46" t="s">
        <v>95</v>
      </c>
      <c r="B191" s="31"/>
      <c r="C191" s="31"/>
      <c r="D191" s="32"/>
      <c r="E191" s="66">
        <f>SUM(E182:E190)</f>
        <v>0</v>
      </c>
    </row>
    <row r="192" ht="26.25" customHeight="1">
      <c r="A192" s="49" t="s">
        <v>96</v>
      </c>
      <c r="B192" s="31"/>
      <c r="C192" s="31"/>
      <c r="D192" s="32"/>
      <c r="E192" s="50">
        <f>E191*22%</f>
        <v>0</v>
      </c>
    </row>
    <row r="193" ht="33.75" customHeight="1">
      <c r="A193" s="51" t="s">
        <v>97</v>
      </c>
      <c r="B193" s="31"/>
      <c r="C193" s="31"/>
      <c r="D193" s="31"/>
      <c r="E193" s="67">
        <f>SUM(E191:E192)</f>
        <v>0</v>
      </c>
    </row>
    <row r="196" ht="33.75" customHeight="1">
      <c r="A196" s="83" t="s">
        <v>158</v>
      </c>
      <c r="B196" s="31"/>
      <c r="C196" s="31"/>
      <c r="D196" s="31"/>
      <c r="E196" s="67">
        <f>E154+E120+E77+160</f>
        <v>2572.381</v>
      </c>
    </row>
  </sheetData>
  <mergeCells count="51">
    <mergeCell ref="A1:E1"/>
    <mergeCell ref="A3:E3"/>
    <mergeCell ref="A26:E26"/>
    <mergeCell ref="A32:E32"/>
    <mergeCell ref="A39:E39"/>
    <mergeCell ref="A46:E46"/>
    <mergeCell ref="A59:E59"/>
    <mergeCell ref="A71:E71"/>
    <mergeCell ref="A74:E74"/>
    <mergeCell ref="A77:D77"/>
    <mergeCell ref="A78:D78"/>
    <mergeCell ref="A79:D79"/>
    <mergeCell ref="A80:E81"/>
    <mergeCell ref="A82:E82"/>
    <mergeCell ref="A83:E83"/>
    <mergeCell ref="A93:E93"/>
    <mergeCell ref="A97:E97"/>
    <mergeCell ref="A100:E100"/>
    <mergeCell ref="A103:E103"/>
    <mergeCell ref="A109:E109"/>
    <mergeCell ref="A113:E113"/>
    <mergeCell ref="A115:E115"/>
    <mergeCell ref="A118:D118"/>
    <mergeCell ref="A119:D119"/>
    <mergeCell ref="A120:D120"/>
    <mergeCell ref="A121:E122"/>
    <mergeCell ref="A123:E123"/>
    <mergeCell ref="A124:E124"/>
    <mergeCell ref="A130:E130"/>
    <mergeCell ref="A136:E136"/>
    <mergeCell ref="A138:E138"/>
    <mergeCell ref="A143:E143"/>
    <mergeCell ref="A152:D152"/>
    <mergeCell ref="A153:D153"/>
    <mergeCell ref="A154:D154"/>
    <mergeCell ref="A155:E156"/>
    <mergeCell ref="A157:E157"/>
    <mergeCell ref="A158:E158"/>
    <mergeCell ref="A163:E163"/>
    <mergeCell ref="A165:E165"/>
    <mergeCell ref="A169:E169"/>
    <mergeCell ref="A175:D175"/>
    <mergeCell ref="A193:D193"/>
    <mergeCell ref="A196:D196"/>
    <mergeCell ref="A176:D176"/>
    <mergeCell ref="A177:D177"/>
    <mergeCell ref="A178:E179"/>
    <mergeCell ref="A180:E180"/>
    <mergeCell ref="A181:E181"/>
    <mergeCell ref="A191:D191"/>
    <mergeCell ref="A192:D19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